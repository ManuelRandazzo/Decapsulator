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aUBGKuKOHSFCZrWglx7tr7V9l92xo8SX0n69/64w/pg="/>
    </ext>
  </extLst>
</workbook>
</file>

<file path=xl/sharedStrings.xml><?xml version="1.0" encoding="utf-8"?>
<sst xmlns="http://schemas.openxmlformats.org/spreadsheetml/2006/main" count="88" uniqueCount="63">
  <si>
    <t>MATERIALE ELETTRICO</t>
  </si>
  <si>
    <t>nome prodotto:</t>
  </si>
  <si>
    <t>Produttore:</t>
  </si>
  <si>
    <t>codice prodotto:</t>
  </si>
  <si>
    <t>link prodotto</t>
  </si>
  <si>
    <t>descrizione</t>
  </si>
  <si>
    <t>prezzo (+iva)</t>
  </si>
  <si>
    <t>quantità:</t>
  </si>
  <si>
    <t>prezzo tot.</t>
  </si>
  <si>
    <t>sensori effetto hall</t>
  </si>
  <si>
    <t>futura elettronica</t>
  </si>
  <si>
    <t>2850-HALLSENSOR</t>
  </si>
  <si>
    <t>Scheda con sensore effetto Hall 49E</t>
  </si>
  <si>
    <t>Sensore effetto Hall per ralla e homing tramite uno spillo</t>
  </si>
  <si>
    <t xml:space="preserve">inclusa </t>
  </si>
  <si>
    <t>Motore passo-passo bipolare</t>
  </si>
  <si>
    <t>1606-23HS5628-8</t>
  </si>
  <si>
    <t>Motore passo-passo bipolare NEMA 17 – 2,5 A</t>
  </si>
  <si>
    <t xml:space="preserve">Motore passo-passo bipolare NEMA 17 – 2,5 A </t>
  </si>
  <si>
    <t>Driver per motore passo-passo</t>
  </si>
  <si>
    <t>8218-DRV8825</t>
  </si>
  <si>
    <t>https://futuranet.it/prodotto/driver-per-motore-passo-passo-bipolare-22a/</t>
  </si>
  <si>
    <t>Driver per motore passo-passo bipolare 2,2A per bobina, 45V max logica 3,3V-5,5V</t>
  </si>
  <si>
    <t>Scheda elettronica per Cella di carico - HX711</t>
  </si>
  <si>
    <t>3085-HX711BOARD</t>
  </si>
  <si>
    <t>https://futuranet.it/prodotto/scheda-elettronica-per-cella-di-carico-hx711/</t>
  </si>
  <si>
    <t>Scheda elettronica basata sul chip HX711, un convertitore analogico-digitale a 24 bit, specifico per interfacciare la cella di carico, due celle collegabili (2 canali). Amplificatori di segnali individuali per singolo canale</t>
  </si>
  <si>
    <t>Cella di carico 1 kg</t>
  </si>
  <si>
    <t>1606-1KGLOADCELL</t>
  </si>
  <si>
    <t>cella di carico 1kg</t>
  </si>
  <si>
    <t>Cella di carico per misurare la quantità di caffè e di capsule all'interno del macchianario</t>
  </si>
  <si>
    <t>Ventola 24 Vdc 80x80x25 mm</t>
  </si>
  <si>
    <t>6600-BSS24</t>
  </si>
  <si>
    <t>https://futuranet.it/prodotto/ventola-sunon-24-vdc-80x80x25/</t>
  </si>
  <si>
    <t>Ventola brushless d'ingresso e uscita per l'aria per il raffreddamento e il ricircolo del macchianario</t>
  </si>
  <si>
    <t>Arduino Shield TFT touch screen 3.5"</t>
  </si>
  <si>
    <t>2850-3.5INCHSHIELD</t>
  </si>
  <si>
    <t>https://futuranet.it/prodotto/arduino-shield-tft-touch-screen-3-5/</t>
  </si>
  <si>
    <t>Display touch per HMI modalità SPI max 40MHz</t>
  </si>
  <si>
    <t>Modulo DC-DC Step-Down regolabile 4,5-28 volt 3A</t>
  </si>
  <si>
    <t>3085-MP1584ADJ</t>
  </si>
  <si>
    <t>https://futuranet.it/prodotto/modulo-dc-dc-stepdown-regolabile-45-28-volt-3a/</t>
  </si>
  <si>
    <t>Step-down per microchip</t>
  </si>
  <si>
    <t>Staffa per motori passo-passo NEMA17</t>
  </si>
  <si>
    <t>2846-SMXNEMA17</t>
  </si>
  <si>
    <t>https://futuranet.it/prodotto/staffa-per-motori-passo-passo-nema17/</t>
  </si>
  <si>
    <t>staffa per nema 17</t>
  </si>
  <si>
    <t>MATERIALE MECCANICO</t>
  </si>
  <si>
    <t>quantità</t>
  </si>
  <si>
    <t>cuscinetto sferico</t>
  </si>
  <si>
    <t>RS Italia</t>
  </si>
  <si>
    <t>CODICE RS: 750-8703</t>
  </si>
  <si>
    <t>UC204 | Cuscinetto sferico, RS PRO, Ø interno 20mm, Ø esterno 47mm, carico statico 630kgf, in Acciaio | RS</t>
  </si>
  <si>
    <t>Cuscinetto sferico, RS PRO, Ø interno 20mm, Ø esterno 47mm, carico statico 630kgf, in Acciaio</t>
  </si>
  <si>
    <t>esclusa</t>
  </si>
  <si>
    <t>cuscinetto sferico radiale</t>
  </si>
  <si>
    <t>CODICE RS: 286-7849</t>
  </si>
  <si>
    <t>626-2Z | Cuscinetto a sfera Cuscinetti radiali a una corona di sfere SKF in Acciaio, Ø int. 6mm, Ø est. 19mm, Largh. guida 6mm | RS</t>
  </si>
  <si>
    <t>Cuscinetto a sfera Cuscinetti radiali a una corona di sfere SKF in Acciaio, Ø int. 6mm, Ø est. 19mm, Largh. guida 6mm</t>
  </si>
  <si>
    <t>Rimanente</t>
  </si>
  <si>
    <t>Rimanente finale</t>
  </si>
  <si>
    <t>TOTALE</t>
  </si>
  <si>
    <t>totale ordine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</si>
</sst>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&quot; €&quot;"/>
    <numFmt numFmtId="165" formatCode="[$€-410]\ #,##0.00;[RED]\-[$€-410]\ #,##0.00"/>
    <numFmt numFmtId="166" formatCode="[$€-2]\ #,##0.00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u/>
      <sz val="11.0"/>
      <color rgb="FF0563C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"/>
      <name val="Calibri"/>
    </font>
    <font>
      <color theme="1"/>
      <name val="Arial"/>
    </font>
    <font>
      <color rgb="FF00A933"/>
      <name val="Arial"/>
    </font>
    <font>
      <sz val="11.0"/>
      <color rgb="FF006100"/>
      <name val="Calibri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6EFCE"/>
        <bgColor rgb="FFC6EFCE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readingOrder="0"/>
    </xf>
    <xf borderId="5" fillId="0" fontId="6" numFmtId="0" xfId="0" applyAlignment="1" applyBorder="1" applyFont="1">
      <alignment horizontal="center" shrinkToFit="0" vertical="center" wrapText="1"/>
    </xf>
    <xf borderId="5" fillId="0" fontId="7" numFmtId="1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5" fillId="0" fontId="3" numFmtId="2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5" numFmtId="0" xfId="0" applyFont="1"/>
    <xf borderId="8" fillId="3" fontId="10" numFmtId="164" xfId="0" applyAlignment="1" applyBorder="1" applyFill="1" applyFont="1" applyNumberFormat="1">
      <alignment horizontal="center" shrinkToFit="0" vertical="bottom" wrapText="0"/>
    </xf>
    <xf borderId="0" fillId="0" fontId="8" numFmtId="165" xfId="0" applyAlignment="1" applyFont="1" applyNumberFormat="1">
      <alignment readingOrder="0" shrinkToFit="0" vertical="bottom" wrapText="1"/>
    </xf>
    <xf borderId="0" fillId="0" fontId="9" numFmtId="166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horizontal="right" vertical="bottom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FFD966"/>
      </font>
      <fill>
        <patternFill patternType="solid">
          <fgColor rgb="FFFF3300"/>
          <bgColor rgb="FFFF3300"/>
        </patternFill>
      </fill>
      <border/>
    </dxf>
    <dxf>
      <font/>
      <fill>
        <patternFill patternType="solid">
          <fgColor rgb="FFC55A11"/>
          <bgColor rgb="FFC55A11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uturanet.it/prodotto/scheda-con-sensore-hall-49e/" TargetMode="External"/><Relationship Id="rId2" Type="http://schemas.openxmlformats.org/officeDocument/2006/relationships/hyperlink" Target="https://futuranet.it/prodotto/motore-passo-passo-bipolare-nema-17-25-a/" TargetMode="External"/><Relationship Id="rId3" Type="http://schemas.openxmlformats.org/officeDocument/2006/relationships/hyperlink" Target="https://futuranet.it/prodotto/driver-per-motore-passo-passo-bipolare-22a/" TargetMode="External"/><Relationship Id="rId4" Type="http://schemas.openxmlformats.org/officeDocument/2006/relationships/hyperlink" Target="https://futuranet.it/prodotto/scheda-elettronica-per-cella-di-carico-hx711/" TargetMode="External"/><Relationship Id="rId11" Type="http://schemas.openxmlformats.org/officeDocument/2006/relationships/hyperlink" Target="https://it.rs-online.com/web/p/cuscinetti-a-sfera/2867849?gb=s" TargetMode="External"/><Relationship Id="rId10" Type="http://schemas.openxmlformats.org/officeDocument/2006/relationships/hyperlink" Target="https://it.rs-online.com/web/p/cuscinetti-ad-inserto/7508703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futuranet.it/prodotto/staffa-per-motori-passo-passo-nema17/" TargetMode="External"/><Relationship Id="rId5" Type="http://schemas.openxmlformats.org/officeDocument/2006/relationships/hyperlink" Target="https://futuranet.it/prodotto/cella-di-carico-1-kg/" TargetMode="External"/><Relationship Id="rId6" Type="http://schemas.openxmlformats.org/officeDocument/2006/relationships/hyperlink" Target="https://futuranet.it/prodotto/ventola-sunon-24-vdc-80x80x25/" TargetMode="External"/><Relationship Id="rId7" Type="http://schemas.openxmlformats.org/officeDocument/2006/relationships/hyperlink" Target="https://futuranet.it/prodotto/arduino-shield-tft-touch-screen-3-5/" TargetMode="External"/><Relationship Id="rId8" Type="http://schemas.openxmlformats.org/officeDocument/2006/relationships/hyperlink" Target="https://futuranet.it/prodotto/modulo-dc-dc-stepdown-regolabile-45-28-volt-3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42.43"/>
    <col customWidth="1" min="3" max="3" width="32.43"/>
    <col customWidth="1" min="4" max="4" width="43.57"/>
    <col customWidth="1" min="5" max="5" width="40.43"/>
    <col customWidth="1" min="6" max="6" width="35.0"/>
    <col customWidth="1" min="7" max="7" width="29.0"/>
    <col customWidth="1" min="8" max="8" width="20.71"/>
    <col customWidth="1" min="9" max="9" width="34.29"/>
    <col customWidth="1" min="10" max="11" width="8.43"/>
    <col customWidth="1" min="12" max="12" width="15.14"/>
    <col customWidth="1" min="13" max="13" width="18.57"/>
    <col customWidth="1" min="14" max="26" width="8.43"/>
  </cols>
  <sheetData>
    <row r="2">
      <c r="B2" s="1" t="s">
        <v>0</v>
      </c>
      <c r="C2" s="2"/>
    </row>
    <row r="3">
      <c r="B3" s="3"/>
      <c r="C3" s="4"/>
    </row>
    <row r="4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</row>
    <row r="5">
      <c r="B5" s="5" t="s">
        <v>9</v>
      </c>
      <c r="C5" s="5" t="s">
        <v>10</v>
      </c>
      <c r="D5" s="6" t="s">
        <v>11</v>
      </c>
      <c r="E5" s="7" t="s">
        <v>12</v>
      </c>
      <c r="F5" s="5" t="s">
        <v>13</v>
      </c>
      <c r="G5" s="8">
        <v>4.5</v>
      </c>
      <c r="H5" s="9">
        <v>3.0</v>
      </c>
      <c r="I5" s="8">
        <f t="shared" ref="I5:I13" si="1">H5*G5</f>
        <v>13.5</v>
      </c>
      <c r="J5" s="10" t="s">
        <v>14</v>
      </c>
    </row>
    <row r="6">
      <c r="B6" s="5" t="s">
        <v>15</v>
      </c>
      <c r="C6" s="5" t="s">
        <v>10</v>
      </c>
      <c r="D6" s="6" t="s">
        <v>16</v>
      </c>
      <c r="E6" s="7" t="s">
        <v>17</v>
      </c>
      <c r="F6" s="5" t="s">
        <v>18</v>
      </c>
      <c r="G6" s="8">
        <v>24.0</v>
      </c>
      <c r="H6" s="9">
        <v>2.0</v>
      </c>
      <c r="I6" s="8">
        <f t="shared" si="1"/>
        <v>48</v>
      </c>
      <c r="J6" s="10" t="s">
        <v>14</v>
      </c>
    </row>
    <row r="7">
      <c r="B7" s="5" t="s">
        <v>19</v>
      </c>
      <c r="C7" s="5" t="s">
        <v>10</v>
      </c>
      <c r="D7" s="6" t="s">
        <v>20</v>
      </c>
      <c r="E7" s="7" t="s">
        <v>21</v>
      </c>
      <c r="F7" s="5" t="s">
        <v>22</v>
      </c>
      <c r="G7" s="8">
        <v>9.5</v>
      </c>
      <c r="H7" s="9">
        <v>2.0</v>
      </c>
      <c r="I7" s="8">
        <f t="shared" si="1"/>
        <v>19</v>
      </c>
      <c r="J7" s="10" t="s">
        <v>14</v>
      </c>
    </row>
    <row r="8">
      <c r="B8" s="5" t="s">
        <v>23</v>
      </c>
      <c r="C8" s="5" t="s">
        <v>10</v>
      </c>
      <c r="D8" s="6" t="s">
        <v>24</v>
      </c>
      <c r="E8" s="7" t="s">
        <v>25</v>
      </c>
      <c r="F8" s="5" t="s">
        <v>26</v>
      </c>
      <c r="G8" s="8">
        <v>5.0</v>
      </c>
      <c r="H8" s="9">
        <v>1.0</v>
      </c>
      <c r="I8" s="8">
        <f t="shared" si="1"/>
        <v>5</v>
      </c>
      <c r="J8" s="10" t="s">
        <v>14</v>
      </c>
    </row>
    <row r="9">
      <c r="B9" s="5" t="s">
        <v>27</v>
      </c>
      <c r="C9" s="5" t="s">
        <v>10</v>
      </c>
      <c r="D9" s="6" t="s">
        <v>28</v>
      </c>
      <c r="E9" s="7" t="s">
        <v>29</v>
      </c>
      <c r="F9" s="8" t="s">
        <v>30</v>
      </c>
      <c r="G9" s="8">
        <v>7.0</v>
      </c>
      <c r="H9" s="9">
        <v>2.0</v>
      </c>
      <c r="I9" s="8">
        <f t="shared" si="1"/>
        <v>14</v>
      </c>
      <c r="J9" s="10" t="s">
        <v>14</v>
      </c>
    </row>
    <row r="10">
      <c r="B10" s="5" t="s">
        <v>31</v>
      </c>
      <c r="C10" s="5" t="s">
        <v>10</v>
      </c>
      <c r="D10" s="6" t="s">
        <v>32</v>
      </c>
      <c r="E10" s="7" t="s">
        <v>33</v>
      </c>
      <c r="F10" s="8" t="s">
        <v>34</v>
      </c>
      <c r="G10" s="8">
        <v>9.5</v>
      </c>
      <c r="H10" s="9">
        <v>2.0</v>
      </c>
      <c r="I10" s="8">
        <f t="shared" si="1"/>
        <v>19</v>
      </c>
      <c r="J10" s="10" t="s">
        <v>14</v>
      </c>
    </row>
    <row r="11">
      <c r="B11" s="5" t="s">
        <v>35</v>
      </c>
      <c r="C11" s="5" t="s">
        <v>10</v>
      </c>
      <c r="D11" s="6" t="s">
        <v>36</v>
      </c>
      <c r="E11" s="7" t="s">
        <v>37</v>
      </c>
      <c r="F11" s="8" t="s">
        <v>38</v>
      </c>
      <c r="G11" s="8">
        <v>32.0</v>
      </c>
      <c r="H11" s="9">
        <v>1.0</v>
      </c>
      <c r="I11" s="8">
        <f t="shared" si="1"/>
        <v>32</v>
      </c>
      <c r="J11" s="10" t="s">
        <v>14</v>
      </c>
    </row>
    <row r="12">
      <c r="B12" s="5" t="s">
        <v>39</v>
      </c>
      <c r="C12" s="5" t="s">
        <v>10</v>
      </c>
      <c r="D12" s="6" t="s">
        <v>40</v>
      </c>
      <c r="E12" s="7" t="s">
        <v>41</v>
      </c>
      <c r="F12" s="8" t="s">
        <v>42</v>
      </c>
      <c r="G12" s="8">
        <v>2.5</v>
      </c>
      <c r="H12" s="9">
        <v>1.0</v>
      </c>
      <c r="I12" s="8">
        <f t="shared" si="1"/>
        <v>2.5</v>
      </c>
      <c r="J12" s="10" t="s">
        <v>14</v>
      </c>
    </row>
    <row r="13">
      <c r="B13" s="5" t="s">
        <v>43</v>
      </c>
      <c r="C13" s="5" t="s">
        <v>10</v>
      </c>
      <c r="D13" s="6" t="s">
        <v>44</v>
      </c>
      <c r="E13" s="11" t="s">
        <v>45</v>
      </c>
      <c r="F13" s="8" t="s">
        <v>46</v>
      </c>
      <c r="G13" s="8">
        <v>3.5</v>
      </c>
      <c r="H13" s="12">
        <v>1.0</v>
      </c>
      <c r="I13" s="8">
        <f t="shared" si="1"/>
        <v>3.5</v>
      </c>
      <c r="J13" s="10" t="s">
        <v>14</v>
      </c>
    </row>
    <row r="15">
      <c r="B15" s="13" t="s">
        <v>47</v>
      </c>
      <c r="C15" s="2"/>
    </row>
    <row r="16">
      <c r="B16" s="14"/>
      <c r="C16" s="15"/>
    </row>
    <row r="17">
      <c r="B17" s="5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8" t="s">
        <v>6</v>
      </c>
      <c r="H17" s="16" t="s">
        <v>48</v>
      </c>
      <c r="I17" s="5" t="s">
        <v>8</v>
      </c>
    </row>
    <row r="18">
      <c r="B18" s="5" t="s">
        <v>49</v>
      </c>
      <c r="C18" s="5" t="s">
        <v>50</v>
      </c>
      <c r="D18" s="5" t="s">
        <v>51</v>
      </c>
      <c r="E18" s="7" t="s">
        <v>52</v>
      </c>
      <c r="F18" s="5" t="s">
        <v>53</v>
      </c>
      <c r="G18" s="8">
        <v>12.53</v>
      </c>
      <c r="H18" s="16">
        <v>1.0</v>
      </c>
      <c r="I18" s="5">
        <f t="shared" ref="I18:I19" si="2">H18*G18</f>
        <v>12.53</v>
      </c>
      <c r="J18" s="10" t="s">
        <v>54</v>
      </c>
    </row>
    <row r="19">
      <c r="B19" s="17" t="s">
        <v>55</v>
      </c>
      <c r="C19" s="5" t="s">
        <v>50</v>
      </c>
      <c r="D19" s="5" t="s">
        <v>56</v>
      </c>
      <c r="E19" s="11" t="s">
        <v>57</v>
      </c>
      <c r="F19" s="5" t="s">
        <v>58</v>
      </c>
      <c r="G19" s="18">
        <v>5.59</v>
      </c>
      <c r="H19" s="16">
        <v>1.0</v>
      </c>
      <c r="I19" s="8">
        <f t="shared" si="2"/>
        <v>5.59</v>
      </c>
      <c r="J19" s="10" t="s">
        <v>54</v>
      </c>
    </row>
    <row r="21" ht="15.75" customHeight="1">
      <c r="L21" s="19" t="s">
        <v>59</v>
      </c>
      <c r="M21" s="20" t="s">
        <v>60</v>
      </c>
    </row>
    <row r="22" ht="15.75" customHeight="1">
      <c r="H22" s="21" t="s">
        <v>61</v>
      </c>
      <c r="I22" s="22">
        <f>SUM(I5:I13,I18:I19)</f>
        <v>174.62</v>
      </c>
      <c r="L22" s="23">
        <v>1200.0</v>
      </c>
      <c r="M22" s="24">
        <f>L22-L25</f>
        <v>1025.38</v>
      </c>
    </row>
    <row r="23" ht="15.75" customHeight="1">
      <c r="L23" s="19"/>
      <c r="M23" s="19"/>
    </row>
    <row r="24" ht="15.75" customHeight="1">
      <c r="L24" s="25" t="s">
        <v>62</v>
      </c>
      <c r="M24" s="19"/>
    </row>
    <row r="25" ht="15.75" customHeight="1">
      <c r="L25" s="26">
        <f>SUM(F17:F21,G22:J23)</f>
        <v>174.62</v>
      </c>
      <c r="M25" s="1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3"/>
    <mergeCell ref="B15:C16"/>
  </mergeCells>
  <conditionalFormatting sqref="I19">
    <cfRule type="cellIs" dxfId="0" priority="1" operator="between">
      <formula>0</formula>
      <formula>10</formula>
    </cfRule>
  </conditionalFormatting>
  <conditionalFormatting sqref="I19">
    <cfRule type="cellIs" dxfId="1" priority="2" operator="between">
      <formula>10</formula>
      <formula>15</formula>
    </cfRule>
  </conditionalFormatting>
  <conditionalFormatting sqref="I19">
    <cfRule type="cellIs" dxfId="2" priority="3" operator="between">
      <formula>50</formula>
      <formula>100</formula>
    </cfRule>
  </conditionalFormatting>
  <conditionalFormatting sqref="I19">
    <cfRule type="cellIs" dxfId="3" priority="4" operator="between">
      <formula>30</formula>
      <formula>50</formula>
    </cfRule>
  </conditionalFormatting>
  <conditionalFormatting sqref="I19">
    <cfRule type="cellIs" dxfId="4" priority="5" operator="between">
      <formula>15</formula>
      <formula>30</formula>
    </cfRule>
  </conditionalFormatting>
  <conditionalFormatting sqref="I5:I13">
    <cfRule type="cellIs" dxfId="0" priority="6" operator="between">
      <formula>0</formula>
      <formula>10</formula>
    </cfRule>
  </conditionalFormatting>
  <conditionalFormatting sqref="I5:I13">
    <cfRule type="cellIs" dxfId="1" priority="7" operator="between">
      <formula>10</formula>
      <formula>15</formula>
    </cfRule>
  </conditionalFormatting>
  <conditionalFormatting sqref="I5:I13">
    <cfRule type="cellIs" dxfId="2" priority="8" operator="between">
      <formula>50</formula>
      <formula>100</formula>
    </cfRule>
  </conditionalFormatting>
  <conditionalFormatting sqref="I5:I13">
    <cfRule type="cellIs" dxfId="3" priority="9" operator="between">
      <formula>30</formula>
      <formula>50</formula>
    </cfRule>
  </conditionalFormatting>
  <conditionalFormatting sqref="I5:I13">
    <cfRule type="cellIs" dxfId="4" priority="10" operator="between">
      <formula>15</formula>
      <formula>30</formula>
    </cfRule>
  </conditionalFormatting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8"/>
    <hyperlink r:id="rId11" ref="E19"/>
  </hyperlinks>
  <printOptions/>
  <pageMargins bottom="0.75" footer="0.0" header="0.0" left="0.7" right="0.7" top="0.75"/>
  <pageSetup paperSize="9" orientation="portrait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2025-03-24T13:32:51Z</dcterms:created>
  <dc:creator>alessio pisan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