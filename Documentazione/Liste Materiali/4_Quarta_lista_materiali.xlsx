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INTA" sheetId="1" r:id="rId4"/>
    <sheet state="visible" name="UFF. ACQ" sheetId="2" r:id="rId5"/>
    <sheet state="visible" name="DATI" sheetId="3" r:id="rId6"/>
  </sheets>
  <definedNames/>
  <calcPr/>
  <extLst>
    <ext uri="GoogleSheetsCustomDataVersion2">
      <go:sheetsCustomData xmlns:go="http://customooxmlschemas.google.com/" r:id="rId7" roundtripDataChecksum="egzciP79T1i5YPGmE6II+vImrW/lr01ZGVVSni9yKgQ="/>
    </ext>
  </extLst>
</workbook>
</file>

<file path=xl/sharedStrings.xml><?xml version="1.0" encoding="utf-8"?>
<sst xmlns="http://schemas.openxmlformats.org/spreadsheetml/2006/main" count="207" uniqueCount="157">
  <si>
    <t>GRUPPO TW</t>
  </si>
  <si>
    <t>REFERENTE ACQUISTI</t>
  </si>
  <si>
    <t>Dorigo Federico</t>
  </si>
  <si>
    <t>COORDINATORE</t>
  </si>
  <si>
    <t>Orsini Roberto</t>
  </si>
  <si>
    <t>SEDE</t>
  </si>
  <si>
    <t>MTB</t>
  </si>
  <si>
    <t>INDIRIZZO SEDE</t>
  </si>
  <si>
    <t>via J. Sansovino 6 Montebelluna (TV)</t>
  </si>
  <si>
    <t>CODICE PROGETTO</t>
  </si>
  <si>
    <t>6131 3 808 2024</t>
  </si>
  <si>
    <t>N° ORDINE</t>
  </si>
  <si>
    <t>NUMERO ARTICOLO</t>
  </si>
  <si>
    <t>DESCRIZIONE</t>
  </si>
  <si>
    <t>CODICE ARTICOLO
 FORNITORE</t>
  </si>
  <si>
    <t>FORNITORE</t>
  </si>
  <si>
    <t>N° PEZZI</t>
  </si>
  <si>
    <t>PREZZO PER UNITA'
(IVA ESCLUSA)</t>
  </si>
  <si>
    <t>TOTALE
(IVA ESCLUSA)</t>
  </si>
  <si>
    <t>NOTE
( ES. MISURE - COLORE - TAGLIO )</t>
  </si>
  <si>
    <t>Giunto in alluminio 5 mm – 8 mm</t>
  </si>
  <si>
    <t>8300-HUB5MM8</t>
  </si>
  <si>
    <t>FUTURA ELETTRONICA (FUTURA GROUP)</t>
  </si>
  <si>
    <t>Interruttore DIP NDS-03-V, SPST, 25 mA, 3 posizioni, attuatore a Rialzato, Foro passante</t>
  </si>
  <si>
    <t>NDS-03-V</t>
  </si>
  <si>
    <t>RS COMPONENTS</t>
  </si>
  <si>
    <t>È 1 sacchetto da 5 componenti</t>
  </si>
  <si>
    <t>Copertura protettiva ebm-papst in Plastica, 80 x 80mm, ventola da 80mm</t>
  </si>
  <si>
    <t>92162-2-2929</t>
  </si>
  <si>
    <t>Raspberry Pi 5 versione con 16 GB di memoria</t>
  </si>
  <si>
    <t>7310-RPI5-16GB</t>
  </si>
  <si>
    <t>Servo motore 10.5kg/cm ingranaggi metallo 180°</t>
  </si>
  <si>
    <t>8300-MG946R</t>
  </si>
  <si>
    <t>Intenso High Performance Scheda microSDHC 8 GB Class 10 incl. Adattatore S</t>
  </si>
  <si>
    <t>CONRAD</t>
  </si>
  <si>
    <t>Kingston Canvas Select Plus Scheda microSDXC 128 GB Class 10 UHS-I</t>
  </si>
  <si>
    <t>SDCS2/128GBSP</t>
  </si>
  <si>
    <t>Rimanente</t>
  </si>
  <si>
    <t>Rimanente finale</t>
  </si>
  <si>
    <t>SanDisk microSDXC Ultra 64GB (A1/UHS-I/Cl.10/140MB/s) + Adapter "Mobile" Scheda microSDXC 64 GB A1 Application Performan</t>
  </si>
  <si>
    <t>SDSQUAB-064G-GN6MA</t>
  </si>
  <si>
    <t>Angolare 90° in alluminio pressofuso</t>
  </si>
  <si>
    <t>7350-ANG90ALLU</t>
  </si>
  <si>
    <t>Cramolin GRAPHIT 1281411 Lacca 200 ml</t>
  </si>
  <si>
    <t>820571-62</t>
  </si>
  <si>
    <t>totale ordine</t>
  </si>
  <si>
    <t>Filamento per stampante 3D NANOVIA, PET-G, Nero, diam. 1.75mm</t>
  </si>
  <si>
    <t>635-147</t>
  </si>
  <si>
    <t>10 dischi magnetici 8x3 mm</t>
  </si>
  <si>
    <t>Diodo DiodesZetex, Foro passante, 10 A, 100 V, TO-220, Bassa dispersione, 3 Pin</t>
  </si>
  <si>
    <t>8220-MAGNET5</t>
  </si>
  <si>
    <t>è una confezione da 10, quindi solo 1 confezione</t>
  </si>
  <si>
    <t>Contatto a crimpare JST PH Totale poli 1 BPH-002T-P0.5S 1 pz.</t>
  </si>
  <si>
    <t>BPH-002T-P0.5S</t>
  </si>
  <si>
    <t>l’ordine minimo è di 50, quindi è l’ordine minimo</t>
  </si>
  <si>
    <t>Connettore maschio da incasso (standard) JST PH Totale poli 8 Passo: 2 mm S8B-PH-SM4-TB (LF)(SN) 1 pz.</t>
  </si>
  <si>
    <t>S8B-PH-SM4-TB (LF)(SN)</t>
  </si>
  <si>
    <t>è una confezione da 5, quindi solo 1 confezione</t>
  </si>
  <si>
    <t>Connettore maschio da incasso (standard) JST PH Totale poli 4 Passo: 2 mm S4B-PH-SM4-TB (LF)(SN) 1 pz.</t>
  </si>
  <si>
    <t>S4B-PH-SM4-TB (LF)(SN)</t>
  </si>
  <si>
    <t>è una confezione da 7, quindi solo 1 confezione</t>
  </si>
  <si>
    <t>Connettore maschio da incasso (standard) JST PH Totale poli 3 Passo: 2 mm S3B-PH-SM4-TB (LF)(SN) 1 pz.</t>
  </si>
  <si>
    <t>S3B-PH-SM4-TB (LF)(SN)</t>
  </si>
  <si>
    <t>Connettore maschio da incasso (standard) JST PH Totale poli 2 Passo: 2 mm S2B-PH-SM4-TB (LF)(SN) 1 pz.</t>
  </si>
  <si>
    <t>S2B-PH-SM4-TB (LF)(SN)</t>
  </si>
  <si>
    <t>Fischer Elektronik Connettore maschio (standard) Numero di righe: 1 Poli per fila: 20 SL LP 5 SMD 051/ 20/S 1 pz.</t>
  </si>
  <si>
    <t>SL LP 5 SMD 051/ 20/S</t>
  </si>
  <si>
    <t>Portabatterie 9V PP3, montaggio PCB, contatti Montaggio su circuito stampato</t>
  </si>
  <si>
    <t>185-4728</t>
  </si>
  <si>
    <t>Batteria 9V RS PRO, 1.2Ah, Litio diossido di manganese</t>
  </si>
  <si>
    <t>784-5992</t>
  </si>
  <si>
    <t>Condensatore RS PRO, 4700μF, 35V cc, ±20%, 105°C, Radiale, Foro passante</t>
  </si>
  <si>
    <t>711-1374</t>
  </si>
  <si>
    <t>è una confezione da 2, quindi solo 1 confezione</t>
  </si>
  <si>
    <t>Condensatore RS PRO, 470μF, 35V cc, ±20%, 105°C, Radiale, Foro passante</t>
  </si>
  <si>
    <t>711-1299</t>
  </si>
  <si>
    <t>Potenziometro trimmer Bourns, 5kΩ, 12 giri, Regolazione dall'alto, Su foro</t>
  </si>
  <si>
    <t>769-2243</t>
  </si>
  <si>
    <t>Adattatore AC/DC RS PRO 24V cc, 3A, spina IEC 320 C14</t>
  </si>
  <si>
    <t>204-7566</t>
  </si>
  <si>
    <t>Presa DC da pannello 5,5 x 2,1 mm</t>
  </si>
  <si>
    <t>1606-DCPLUG</t>
  </si>
  <si>
    <t>Case per Raspberry Pi Raspberry Pi ABS serie Pi Case, per Raspberry Pi 5 Nero</t>
  </si>
  <si>
    <t>219-256</t>
  </si>
  <si>
    <t>Alimentatore per Raspberry Pi Raspberry Pi, presa USB di tipo C con Connettore maschio EU, cavo da 1.2m</t>
  </si>
  <si>
    <t>219-261</t>
  </si>
  <si>
    <t>TOTALE</t>
  </si>
  <si>
    <t>Riservato ITS - UFFICIO ACQUISTI</t>
  </si>
  <si>
    <t>Ordinato il:</t>
  </si>
  <si>
    <t>Note</t>
  </si>
  <si>
    <t>Consegnato il:</t>
  </si>
  <si>
    <t>Ordine evaso:</t>
  </si>
  <si>
    <t>Fornitore</t>
  </si>
  <si>
    <t>Rif. Ordine</t>
  </si>
  <si>
    <t>N° ordine</t>
  </si>
  <si>
    <t>Cons. Prev.</t>
  </si>
  <si>
    <t>Rif. Ddt</t>
  </si>
  <si>
    <t>NUMERO ORDINE</t>
  </si>
  <si>
    <t>CODICE REGIONALE</t>
  </si>
  <si>
    <t>TITOLO SINTETICO</t>
  </si>
  <si>
    <t>6131-0001-1032-2023</t>
  </si>
  <si>
    <t>Vicenza</t>
  </si>
  <si>
    <t>AUTOMAZIONE SIST. MECCATRONICI</t>
  </si>
  <si>
    <t>PORTINARI SERGIO</t>
  </si>
  <si>
    <t>6131-0002-1032-2023</t>
  </si>
  <si>
    <t>Padova</t>
  </si>
  <si>
    <t>CONSOLARO DANIELE</t>
  </si>
  <si>
    <t>6131-0003-1032-2023</t>
  </si>
  <si>
    <t>Verona</t>
  </si>
  <si>
    <t>FEDELE DI MARCO</t>
  </si>
  <si>
    <t>ROBOT ITALY</t>
  </si>
  <si>
    <t>6131-0004-1032-2023</t>
  </si>
  <si>
    <t>Montebelluna</t>
  </si>
  <si>
    <t>ORSINI ROBERTO</t>
  </si>
  <si>
    <t>DISTRELEC</t>
  </si>
  <si>
    <t>6131-0005-1032-2023</t>
  </si>
  <si>
    <t>Mestre-VE</t>
  </si>
  <si>
    <t>GAROFALO ANTONIO</t>
  </si>
  <si>
    <t>MICROBOT DI PROSSEDA MIRKO</t>
  </si>
  <si>
    <t>6131-0006-1032-2023</t>
  </si>
  <si>
    <t>Conegliano SINISTRA PIAVE</t>
  </si>
  <si>
    <t>VENDRAMINI CHRISTIAN</t>
  </si>
  <si>
    <t>LEROY MERLIN</t>
  </si>
  <si>
    <t>6131-0007-1032-2023</t>
  </si>
  <si>
    <t>Belluno</t>
  </si>
  <si>
    <t>ZANCANARO MICHELE</t>
  </si>
  <si>
    <t>FERRAMENTA NEGRIN</t>
  </si>
  <si>
    <t>6131-0008-1032-2023</t>
  </si>
  <si>
    <t>Treviso</t>
  </si>
  <si>
    <t>INNOVAZIONE DI PROCESSI E PRODOTTI MECCANICI</t>
  </si>
  <si>
    <t>BONSO TIZIANO</t>
  </si>
  <si>
    <t>6131-0009-1032-2023</t>
  </si>
  <si>
    <t>Schio</t>
  </si>
  <si>
    <t>MAINO GIAMPAOLO</t>
  </si>
  <si>
    <t>LASER IDEA SRL</t>
  </si>
  <si>
    <t>6131-0010-1032-2023</t>
  </si>
  <si>
    <t>INDUSTRIA 4.0</t>
  </si>
  <si>
    <t>SGROI ANDREA</t>
  </si>
  <si>
    <t>Arkengraf Srl - PlexyFaiDaTe</t>
  </si>
  <si>
    <t>6131-0011-1032-2023</t>
  </si>
  <si>
    <t>VINANTE LEONARDO</t>
  </si>
  <si>
    <t>MARCHIOL SPA</t>
  </si>
  <si>
    <t>6131-0012-1032-2023</t>
  </si>
  <si>
    <t>Thiene</t>
  </si>
  <si>
    <t>FRIGO GUIDO</t>
  </si>
  <si>
    <t>FERRAMENTA ZORZETTO</t>
  </si>
  <si>
    <t>6131-0013-1032-2023</t>
  </si>
  <si>
    <t>Portogruaro</t>
  </si>
  <si>
    <t>TOMMASI MASSIMILIANO</t>
  </si>
  <si>
    <t>6131-0014-1032-2023</t>
  </si>
  <si>
    <t>GASPANI GIANCARLO</t>
  </si>
  <si>
    <t>6131-0015-1032-2023</t>
  </si>
  <si>
    <t>Bassano del Grappa</t>
  </si>
  <si>
    <t>FIORESE VLADIMIRO</t>
  </si>
  <si>
    <t>6131-0016-1032-2023</t>
  </si>
  <si>
    <t>Este PD (PADOVA SUD)</t>
  </si>
  <si>
    <t>TONIOLO LILIANA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</si>
</sst>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-2]\ #,##0.00"/>
    <numFmt numFmtId="165" formatCode="[$€-2]\ #,##0.00;[RED]\-[$€-2]\ #,##0.00"/>
    <numFmt numFmtId="166" formatCode="[$€-410]\ #,##0.00;[RED]\-[$€-410]\ #,##0.00"/>
  </numFmts>
  <fonts count="15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sz val="12.0"/>
      <color rgb="FF000000"/>
      <name val="Calibri"/>
    </font>
    <font>
      <sz val="11.0"/>
      <color theme="1"/>
      <name val="Arial"/>
    </font>
    <font>
      <sz val="10.0"/>
      <color rgb="FF00A933"/>
      <name val="Arial"/>
    </font>
    <font>
      <sz val="11.0"/>
      <color rgb="FF00A933"/>
      <name val="Arial"/>
    </font>
    <font>
      <b/>
      <sz val="11.0"/>
      <color theme="1"/>
      <name val="Arial"/>
    </font>
    <font>
      <color theme="1"/>
      <name val="Arial"/>
      <scheme val="minor"/>
    </font>
    <font>
      <sz val="10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3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3" fontId="3" numFmtId="0" xfId="0" applyAlignment="1" applyBorder="1" applyFill="1" applyFont="1">
      <alignment shrinkToFit="0" vertical="bottom" wrapText="0"/>
    </xf>
    <xf borderId="8" fillId="0" fontId="5" numFmtId="0" xfId="0" applyBorder="1" applyFont="1"/>
    <xf borderId="9" fillId="0" fontId="5" numFmtId="0" xfId="0" applyBorder="1" applyFont="1"/>
    <xf borderId="1" fillId="4" fontId="1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7" fillId="5" fontId="3" numFmtId="0" xfId="0" applyAlignment="1" applyBorder="1" applyFill="1" applyFont="1">
      <alignment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11" fillId="0" fontId="6" numFmtId="0" xfId="0" applyAlignment="1" applyBorder="1" applyFont="1">
      <alignment horizontal="left" shrinkToFit="0" vertical="bottom" wrapText="1"/>
    </xf>
    <xf borderId="12" fillId="0" fontId="5" numFmtId="0" xfId="0" applyBorder="1" applyFont="1"/>
    <xf borderId="13" fillId="0" fontId="5" numFmtId="0" xfId="0" applyBorder="1" applyFont="1"/>
    <xf borderId="11" fillId="6" fontId="4" numFmtId="0" xfId="0" applyAlignment="1" applyBorder="1" applyFill="1" applyFont="1">
      <alignment horizontal="center" shrinkToFit="0" vertical="bottom" wrapText="0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0" fillId="0" fontId="6" numFmtId="164" xfId="0" applyAlignment="1" applyBorder="1" applyFont="1" applyNumberFormat="1">
      <alignment horizontal="center" shrinkToFit="0" vertical="bottom" wrapText="0"/>
    </xf>
    <xf borderId="11" fillId="0" fontId="3" numFmtId="0" xfId="0" applyAlignment="1" applyBorder="1" applyFont="1">
      <alignment horizontal="right" shrinkToFit="0" vertical="bottom" wrapText="1"/>
    </xf>
    <xf borderId="11" fillId="0" fontId="3" numFmtId="0" xfId="0" applyAlignment="1" applyBorder="1" applyFont="1">
      <alignment horizontal="center" shrinkToFit="0" vertical="bottom" wrapText="0"/>
    </xf>
    <xf borderId="0" fillId="0" fontId="4" numFmtId="49" xfId="0" applyAlignment="1" applyFont="1" applyNumberFormat="1">
      <alignment shrinkToFit="0" vertical="bottom" wrapText="1"/>
    </xf>
    <xf borderId="11" fillId="6" fontId="3" numFmtId="0" xfId="0" applyAlignment="1" applyBorder="1" applyFon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4" fillId="0" fontId="8" numFmtId="0" xfId="0" applyAlignment="1" applyBorder="1" applyFont="1">
      <alignment shrinkToFit="0" vertical="bottom" wrapText="1"/>
    </xf>
    <xf borderId="0" fillId="0" fontId="7" numFmtId="164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15" fillId="0" fontId="8" numFmtId="165" xfId="0" applyAlignment="1" applyBorder="1" applyFont="1" applyNumberFormat="1">
      <alignment horizontal="right" shrinkToFit="0" vertical="bottom" wrapText="1"/>
    </xf>
    <xf borderId="0" fillId="0" fontId="7" numFmtId="166" xfId="0" applyAlignment="1" applyFont="1" applyNumberFormat="1">
      <alignment horizontal="right" shrinkToFit="0" vertical="bottom" wrapText="1"/>
    </xf>
    <xf borderId="0" fillId="0" fontId="9" numFmtId="164" xfId="0" applyAlignment="1" applyFont="1" applyNumberFormat="1">
      <alignment horizontal="right" shrinkToFit="0" vertical="bottom" wrapText="0"/>
    </xf>
    <xf borderId="16" fillId="0" fontId="5" numFmtId="0" xfId="0" applyBorder="1" applyFont="1"/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horizontal="right" shrinkToFit="0" vertical="bottom" wrapText="0"/>
    </xf>
    <xf borderId="17" fillId="0" fontId="6" numFmtId="0" xfId="0" applyAlignment="1" applyBorder="1" applyFont="1">
      <alignment horizontal="left" shrinkToFit="0" vertical="bottom" wrapText="1"/>
    </xf>
    <xf borderId="18" fillId="0" fontId="5" numFmtId="0" xfId="0" applyBorder="1" applyFont="1"/>
    <xf borderId="19" fillId="0" fontId="5" numFmtId="0" xfId="0" applyBorder="1" applyFont="1"/>
    <xf borderId="0" fillId="6" fontId="11" numFmtId="0" xfId="0" applyFont="1"/>
    <xf borderId="10" fillId="0" fontId="7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8" fillId="0" fontId="4" numFmtId="0" xfId="0" applyAlignment="1" applyBorder="1" applyFont="1">
      <alignment shrinkToFit="0" vertical="bottom" wrapText="0"/>
    </xf>
    <xf borderId="20" fillId="0" fontId="5" numFmtId="0" xfId="0" applyBorder="1" applyFont="1"/>
    <xf borderId="10" fillId="0" fontId="1" numFmtId="164" xfId="0" applyAlignment="1" applyBorder="1" applyFont="1" applyNumberFormat="1">
      <alignment horizontal="center" shrinkToFit="0" vertical="bottom" wrapText="0"/>
    </xf>
    <xf borderId="4" fillId="7" fontId="6" numFmtId="0" xfId="0" applyAlignment="1" applyBorder="1" applyFill="1" applyFont="1">
      <alignment horizontal="center" shrinkToFit="0" vertical="bottom" wrapText="0"/>
    </xf>
    <xf borderId="21" fillId="0" fontId="12" numFmtId="0" xfId="0" applyAlignment="1" applyBorder="1" applyFont="1">
      <alignment shrinkToFit="0" vertical="bottom" wrapText="0"/>
    </xf>
    <xf borderId="21" fillId="0" fontId="6" numFmtId="0" xfId="0" applyAlignment="1" applyBorder="1" applyFont="1">
      <alignment shrinkToFit="0" vertical="bottom" wrapText="0"/>
    </xf>
    <xf borderId="22" fillId="0" fontId="6" numFmtId="0" xfId="0" applyAlignment="1" applyBorder="1" applyFont="1">
      <alignment shrinkToFit="0" vertical="bottom" wrapText="0"/>
    </xf>
    <xf borderId="23" fillId="0" fontId="6" numFmtId="0" xfId="0" applyAlignment="1" applyBorder="1" applyFont="1">
      <alignment horizontal="center" shrinkToFit="0" vertical="bottom" wrapText="0"/>
    </xf>
    <xf borderId="24" fillId="0" fontId="5" numFmtId="0" xfId="0" applyBorder="1" applyFont="1"/>
    <xf borderId="24" fillId="0" fontId="6" numFmtId="0" xfId="0" applyAlignment="1" applyBorder="1" applyFont="1">
      <alignment horizontal="center" shrinkToFit="0" vertical="bottom" wrapText="0"/>
    </xf>
    <xf borderId="21" fillId="0" fontId="6" numFmtId="0" xfId="0" applyAlignment="1" applyBorder="1" applyFont="1">
      <alignment horizontal="center" shrinkToFit="0" vertical="bottom" wrapText="0"/>
    </xf>
    <xf borderId="3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25" fillId="0" fontId="5" numFmtId="0" xfId="0" applyBorder="1" applyFont="1"/>
    <xf borderId="1" fillId="4" fontId="1" numFmtId="0" xfId="0" applyAlignment="1" applyBorder="1" applyFont="1">
      <alignment horizontal="center" shrinkToFit="0" vertical="bottom" wrapText="0"/>
    </xf>
    <xf borderId="26" fillId="8" fontId="13" numFmtId="0" xfId="0" applyAlignment="1" applyBorder="1" applyFill="1" applyFont="1">
      <alignment horizontal="center" shrinkToFit="0" vertical="bottom" wrapText="0"/>
    </xf>
    <xf borderId="26" fillId="4" fontId="13" numFmtId="0" xfId="0" applyAlignment="1" applyBorder="1" applyFont="1">
      <alignment horizontal="center" shrinkToFit="0" vertical="bottom" wrapText="0"/>
    </xf>
    <xf borderId="26" fillId="8" fontId="13" numFmtId="0" xfId="0" applyAlignment="1" applyBorder="1" applyFont="1">
      <alignment horizontal="left" shrinkToFit="0" vertical="bottom" wrapText="0"/>
    </xf>
    <xf borderId="27" fillId="8" fontId="13" numFmtId="0" xfId="0" applyAlignment="1" applyBorder="1" applyFont="1">
      <alignment shrinkToFit="0" vertical="bottom" wrapText="0"/>
    </xf>
    <xf borderId="27" fillId="9" fontId="1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0</xdr:row>
      <xdr:rowOff>0</xdr:rowOff>
    </xdr:from>
    <xdr:ext cx="2886075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3" width="11.0"/>
    <col customWidth="1" min="4" max="4" width="5.88"/>
    <col customWidth="1" min="5" max="5" width="22.38"/>
    <col customWidth="1" min="6" max="6" width="33.38"/>
    <col customWidth="1" min="7" max="7" width="15.13"/>
    <col customWidth="1" min="8" max="8" width="11.38"/>
    <col customWidth="1" min="9" max="9" width="35.75"/>
    <col customWidth="1" min="10" max="10" width="19.75"/>
    <col customWidth="1" min="11" max="11" width="28.63"/>
    <col customWidth="1" min="12" max="12" width="20.75"/>
    <col customWidth="1" min="13" max="16" width="11.0"/>
    <col customWidth="1" min="17" max="17" width="12.0"/>
    <col customWidth="1" min="18" max="18" width="23.75"/>
    <col customWidth="1" min="19" max="19" width="11.0"/>
  </cols>
  <sheetData>
    <row r="1" ht="15.75" customHeight="1">
      <c r="A1" s="1" t="s">
        <v>0</v>
      </c>
      <c r="B1" s="2">
        <v>1.0</v>
      </c>
      <c r="E1" s="1" t="s">
        <v>1</v>
      </c>
      <c r="F1" s="3" t="s">
        <v>2</v>
      </c>
      <c r="I1" s="4"/>
      <c r="J1" s="1" t="s">
        <v>3</v>
      </c>
      <c r="K1" s="3" t="s">
        <v>4</v>
      </c>
      <c r="M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8"/>
      <c r="C2" s="8"/>
      <c r="D2" s="8"/>
      <c r="E2" s="7"/>
      <c r="F2" s="7"/>
      <c r="G2" s="7"/>
      <c r="H2" s="7"/>
      <c r="I2" s="7"/>
      <c r="J2" s="7"/>
      <c r="K2" s="7"/>
      <c r="L2" s="7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" t="s">
        <v>5</v>
      </c>
      <c r="B3" s="2" t="s">
        <v>6</v>
      </c>
      <c r="E3" s="1" t="s">
        <v>7</v>
      </c>
      <c r="F3" s="3" t="s">
        <v>8</v>
      </c>
      <c r="I3" s="4"/>
      <c r="J3" s="1" t="s">
        <v>9</v>
      </c>
      <c r="K3" s="9"/>
      <c r="L3" s="6" t="s">
        <v>10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" t="s">
        <v>11</v>
      </c>
      <c r="B5" s="10">
        <v>4.0</v>
      </c>
      <c r="E5" s="11"/>
      <c r="F5" s="12"/>
      <c r="G5" s="12"/>
      <c r="H5" s="12"/>
      <c r="I5" s="12"/>
      <c r="J5" s="12"/>
      <c r="K5" s="12"/>
      <c r="L5" s="13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  <c r="Q7" s="6"/>
      <c r="R7" s="6"/>
      <c r="S7" s="6"/>
      <c r="T7" s="6"/>
      <c r="U7" s="6"/>
      <c r="V7" s="6"/>
      <c r="W7" s="6"/>
      <c r="X7" s="6"/>
      <c r="Y7" s="6"/>
      <c r="Z7" s="6"/>
    </row>
    <row r="8" ht="33.75" customHeight="1">
      <c r="A8" s="17" t="s">
        <v>12</v>
      </c>
      <c r="B8" s="18" t="s">
        <v>13</v>
      </c>
      <c r="C8" s="12"/>
      <c r="D8" s="12"/>
      <c r="E8" s="12"/>
      <c r="F8" s="13"/>
      <c r="G8" s="19" t="s">
        <v>14</v>
      </c>
      <c r="H8" s="13"/>
      <c r="I8" s="20" t="s">
        <v>15</v>
      </c>
      <c r="J8" s="20" t="s">
        <v>16</v>
      </c>
      <c r="K8" s="17" t="s">
        <v>17</v>
      </c>
      <c r="L8" s="20" t="s">
        <v>18</v>
      </c>
      <c r="M8" s="21" t="s">
        <v>19</v>
      </c>
      <c r="N8" s="12"/>
      <c r="O8" s="12"/>
      <c r="P8" s="13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6"/>
      <c r="R9" s="6"/>
      <c r="S9" s="6"/>
      <c r="T9" s="6"/>
      <c r="U9" s="6"/>
      <c r="V9" s="6"/>
      <c r="W9" s="6"/>
      <c r="X9" s="6"/>
      <c r="Y9" s="6"/>
      <c r="Z9" s="6"/>
    </row>
    <row r="10" ht="34.5" customHeight="1">
      <c r="A10" s="23">
        <v>1.0</v>
      </c>
      <c r="B10" s="24" t="s">
        <v>20</v>
      </c>
      <c r="C10" s="25"/>
      <c r="D10" s="25"/>
      <c r="E10" s="25"/>
      <c r="F10" s="26"/>
      <c r="G10" s="27" t="s">
        <v>21</v>
      </c>
      <c r="H10" s="26"/>
      <c r="I10" s="28" t="s">
        <v>22</v>
      </c>
      <c r="J10" s="29">
        <v>3.0</v>
      </c>
      <c r="K10" s="30">
        <v>1.48</v>
      </c>
      <c r="L10" s="30">
        <v>4.44</v>
      </c>
      <c r="M10" s="31"/>
      <c r="N10" s="25"/>
      <c r="O10" s="25"/>
      <c r="P10" s="2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7.75" customHeight="1">
      <c r="A11" s="23">
        <v>2.0</v>
      </c>
      <c r="B11" s="24" t="s">
        <v>23</v>
      </c>
      <c r="C11" s="25"/>
      <c r="D11" s="25"/>
      <c r="E11" s="25"/>
      <c r="F11" s="26"/>
      <c r="G11" s="32" t="s">
        <v>24</v>
      </c>
      <c r="H11" s="26"/>
      <c r="I11" s="28" t="s">
        <v>25</v>
      </c>
      <c r="J11" s="29">
        <v>1.0</v>
      </c>
      <c r="K11" s="30">
        <v>5.8</v>
      </c>
      <c r="L11" s="30">
        <v>5.8</v>
      </c>
      <c r="M11" s="31" t="s">
        <v>26</v>
      </c>
      <c r="N11" s="25"/>
      <c r="O11" s="25"/>
      <c r="P11" s="26"/>
      <c r="Q11" s="6"/>
      <c r="R11" s="33"/>
      <c r="S11" s="6"/>
      <c r="T11" s="6"/>
      <c r="U11" s="6"/>
      <c r="V11" s="6"/>
      <c r="W11" s="6"/>
      <c r="X11" s="6"/>
      <c r="Y11" s="6"/>
      <c r="Z11" s="6"/>
    </row>
    <row r="12" ht="45.0" customHeight="1">
      <c r="A12" s="23">
        <v>3.0</v>
      </c>
      <c r="B12" s="24" t="s">
        <v>27</v>
      </c>
      <c r="C12" s="25"/>
      <c r="D12" s="25"/>
      <c r="E12" s="25"/>
      <c r="F12" s="26"/>
      <c r="G12" s="32" t="s">
        <v>28</v>
      </c>
      <c r="H12" s="26"/>
      <c r="I12" s="28" t="s">
        <v>25</v>
      </c>
      <c r="J12" s="29">
        <v>2.0</v>
      </c>
      <c r="K12" s="30">
        <v>3.8</v>
      </c>
      <c r="L12" s="30">
        <v>7.6</v>
      </c>
      <c r="M12" s="31">
        <v>9.27</v>
      </c>
      <c r="N12" s="25"/>
      <c r="O12" s="25"/>
      <c r="P12" s="26"/>
      <c r="Q12" s="6"/>
      <c r="R12" s="33"/>
      <c r="S12" s="6"/>
      <c r="T12" s="6"/>
      <c r="U12" s="6"/>
      <c r="V12" s="6"/>
      <c r="W12" s="6"/>
      <c r="X12" s="6"/>
      <c r="Y12" s="6"/>
      <c r="Z12" s="6"/>
    </row>
    <row r="13" ht="30.0" customHeight="1">
      <c r="A13" s="23">
        <v>4.0</v>
      </c>
      <c r="B13" s="24" t="s">
        <v>29</v>
      </c>
      <c r="C13" s="25"/>
      <c r="D13" s="25"/>
      <c r="E13" s="25"/>
      <c r="F13" s="26"/>
      <c r="G13" s="34" t="s">
        <v>30</v>
      </c>
      <c r="H13" s="26"/>
      <c r="I13" s="28" t="s">
        <v>22</v>
      </c>
      <c r="J13" s="29">
        <v>1.0</v>
      </c>
      <c r="K13" s="30">
        <v>144.3</v>
      </c>
      <c r="L13" s="30">
        <v>144.3</v>
      </c>
      <c r="M13" s="31"/>
      <c r="N13" s="25"/>
      <c r="O13" s="25"/>
      <c r="P13" s="26"/>
      <c r="Q13" s="6"/>
      <c r="R13" s="35"/>
      <c r="S13" s="6"/>
      <c r="T13" s="6"/>
      <c r="U13" s="6"/>
      <c r="V13" s="6"/>
      <c r="W13" s="6"/>
      <c r="X13" s="6"/>
      <c r="Y13" s="6"/>
      <c r="Z13" s="6"/>
    </row>
    <row r="14" ht="27.0" customHeight="1">
      <c r="A14" s="23">
        <v>5.0</v>
      </c>
      <c r="B14" s="24" t="s">
        <v>31</v>
      </c>
      <c r="C14" s="25"/>
      <c r="D14" s="25"/>
      <c r="E14" s="25"/>
      <c r="F14" s="26"/>
      <c r="G14" s="34" t="s">
        <v>32</v>
      </c>
      <c r="H14" s="26"/>
      <c r="I14" s="28" t="s">
        <v>22</v>
      </c>
      <c r="J14" s="29">
        <v>1.0</v>
      </c>
      <c r="K14" s="30">
        <v>6.63</v>
      </c>
      <c r="L14" s="30">
        <v>6.63</v>
      </c>
      <c r="M14" s="31"/>
      <c r="N14" s="25"/>
      <c r="O14" s="25"/>
      <c r="P14" s="2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0" customHeight="1">
      <c r="A15" s="23">
        <v>6.0</v>
      </c>
      <c r="B15" s="24" t="s">
        <v>33</v>
      </c>
      <c r="C15" s="25"/>
      <c r="D15" s="25"/>
      <c r="E15" s="25"/>
      <c r="F15" s="26"/>
      <c r="G15" s="34">
        <v>3413460.0</v>
      </c>
      <c r="H15" s="26"/>
      <c r="I15" s="28" t="s">
        <v>34</v>
      </c>
      <c r="J15" s="29">
        <v>1.0</v>
      </c>
      <c r="K15" s="30">
        <v>3.5</v>
      </c>
      <c r="L15" s="30">
        <v>3.5</v>
      </c>
      <c r="M15" s="31"/>
      <c r="N15" s="25"/>
      <c r="O15" s="25"/>
      <c r="P15" s="26"/>
      <c r="Q15" s="36"/>
      <c r="R15" s="36"/>
      <c r="S15" s="37"/>
      <c r="T15" s="6"/>
      <c r="U15" s="6"/>
      <c r="V15" s="6"/>
      <c r="W15" s="6"/>
      <c r="X15" s="6"/>
      <c r="Y15" s="6"/>
      <c r="Z15" s="6"/>
    </row>
    <row r="16" ht="41.25" customHeight="1">
      <c r="A16" s="23">
        <v>7.0</v>
      </c>
      <c r="B16" s="24" t="s">
        <v>35</v>
      </c>
      <c r="C16" s="25"/>
      <c r="D16" s="25"/>
      <c r="E16" s="25"/>
      <c r="F16" s="26"/>
      <c r="G16" s="34" t="s">
        <v>36</v>
      </c>
      <c r="H16" s="26"/>
      <c r="I16" s="28" t="s">
        <v>34</v>
      </c>
      <c r="J16" s="29">
        <v>1.0</v>
      </c>
      <c r="K16" s="30">
        <v>8.57</v>
      </c>
      <c r="L16" s="30">
        <v>8.57</v>
      </c>
      <c r="M16" s="31"/>
      <c r="N16" s="25"/>
      <c r="O16" s="25"/>
      <c r="P16" s="26"/>
      <c r="Q16" s="38" t="s">
        <v>37</v>
      </c>
      <c r="R16" s="39" t="s">
        <v>38</v>
      </c>
      <c r="S16" s="40"/>
      <c r="T16" s="6"/>
      <c r="U16" s="6"/>
      <c r="V16" s="6"/>
      <c r="W16" s="6"/>
      <c r="X16" s="6"/>
      <c r="Y16" s="6"/>
      <c r="Z16" s="6"/>
    </row>
    <row r="17" ht="62.25" customHeight="1">
      <c r="A17" s="23">
        <v>8.0</v>
      </c>
      <c r="B17" s="24" t="s">
        <v>39</v>
      </c>
      <c r="C17" s="25"/>
      <c r="D17" s="25"/>
      <c r="E17" s="25"/>
      <c r="F17" s="26"/>
      <c r="G17" s="34" t="s">
        <v>40</v>
      </c>
      <c r="H17" s="26"/>
      <c r="I17" s="28" t="s">
        <v>34</v>
      </c>
      <c r="J17" s="29">
        <v>1.0</v>
      </c>
      <c r="K17" s="30">
        <v>7.01</v>
      </c>
      <c r="L17" s="30">
        <v>7.01</v>
      </c>
      <c r="M17" s="31"/>
      <c r="N17" s="25"/>
      <c r="O17" s="25"/>
      <c r="P17" s="26"/>
      <c r="Q17" s="41">
        <v>646.52</v>
      </c>
      <c r="R17" s="42">
        <f>Q17-Q20</f>
        <v>256.9158</v>
      </c>
      <c r="S17" s="43"/>
      <c r="T17" s="6"/>
      <c r="U17" s="6"/>
      <c r="V17" s="6"/>
      <c r="W17" s="6"/>
      <c r="X17" s="6"/>
      <c r="Y17" s="6"/>
      <c r="Z17" s="6"/>
    </row>
    <row r="18" ht="42.75" customHeight="1">
      <c r="A18" s="23">
        <v>10.0</v>
      </c>
      <c r="B18" s="24" t="s">
        <v>41</v>
      </c>
      <c r="C18" s="25"/>
      <c r="D18" s="25"/>
      <c r="E18" s="25"/>
      <c r="F18" s="26"/>
      <c r="G18" s="34" t="s">
        <v>42</v>
      </c>
      <c r="H18" s="26"/>
      <c r="I18" s="28" t="s">
        <v>22</v>
      </c>
      <c r="J18" s="29">
        <v>30.0</v>
      </c>
      <c r="K18" s="30">
        <v>0.5</v>
      </c>
      <c r="L18" s="30">
        <v>15.0</v>
      </c>
      <c r="M18" s="31"/>
      <c r="N18" s="25"/>
      <c r="O18" s="25"/>
      <c r="P18" s="26"/>
      <c r="Q18" s="36"/>
      <c r="R18" s="36"/>
      <c r="S18" s="6"/>
      <c r="T18" s="6"/>
      <c r="U18" s="6"/>
      <c r="V18" s="6"/>
      <c r="W18" s="6"/>
      <c r="X18" s="6"/>
      <c r="Y18" s="6"/>
      <c r="Z18" s="6"/>
    </row>
    <row r="19" ht="33.75" customHeight="1">
      <c r="A19" s="23">
        <v>11.0</v>
      </c>
      <c r="B19" s="24" t="s">
        <v>43</v>
      </c>
      <c r="C19" s="25"/>
      <c r="D19" s="25"/>
      <c r="E19" s="25"/>
      <c r="F19" s="26"/>
      <c r="G19" s="34" t="s">
        <v>44</v>
      </c>
      <c r="H19" s="26"/>
      <c r="I19" s="28" t="s">
        <v>34</v>
      </c>
      <c r="J19" s="29">
        <v>1.0</v>
      </c>
      <c r="K19" s="30">
        <v>22.99</v>
      </c>
      <c r="L19" s="30">
        <v>22.99</v>
      </c>
      <c r="M19" s="31"/>
      <c r="N19" s="25"/>
      <c r="O19" s="25"/>
      <c r="P19" s="26"/>
      <c r="Q19" s="44" t="s">
        <v>45</v>
      </c>
      <c r="R19" s="36"/>
      <c r="S19" s="6"/>
      <c r="T19" s="6"/>
      <c r="U19" s="6"/>
      <c r="V19" s="6"/>
      <c r="W19" s="6"/>
      <c r="X19" s="6"/>
      <c r="Y19" s="6"/>
      <c r="Z19" s="6"/>
    </row>
    <row r="20" ht="33.75" customHeight="1">
      <c r="A20" s="23">
        <v>12.0</v>
      </c>
      <c r="B20" s="24" t="s">
        <v>46</v>
      </c>
      <c r="C20" s="25"/>
      <c r="D20" s="25"/>
      <c r="E20" s="25"/>
      <c r="F20" s="26"/>
      <c r="G20" s="34" t="s">
        <v>47</v>
      </c>
      <c r="H20" s="26"/>
      <c r="I20" s="28" t="s">
        <v>25</v>
      </c>
      <c r="J20" s="29">
        <v>2.0</v>
      </c>
      <c r="K20" s="30">
        <v>21.75</v>
      </c>
      <c r="L20" s="30">
        <v>43.5</v>
      </c>
      <c r="M20" s="31">
        <v>53.07</v>
      </c>
      <c r="N20" s="25"/>
      <c r="O20" s="25"/>
      <c r="P20" s="26"/>
      <c r="Q20" s="45">
        <f>SUM(L10:L46)</f>
        <v>389.6042</v>
      </c>
      <c r="R20" s="36"/>
      <c r="S20" s="6"/>
      <c r="T20" s="6"/>
      <c r="U20" s="6"/>
      <c r="V20" s="6"/>
      <c r="W20" s="6"/>
      <c r="X20" s="6"/>
      <c r="Y20" s="6"/>
      <c r="Z20" s="6"/>
    </row>
    <row r="21" ht="31.5" customHeight="1">
      <c r="A21" s="23">
        <v>13.0</v>
      </c>
      <c r="B21" s="46" t="s">
        <v>48</v>
      </c>
      <c r="C21" s="47"/>
      <c r="D21" s="47"/>
      <c r="E21" s="47"/>
      <c r="F21" s="48"/>
      <c r="G21" s="49"/>
      <c r="H21" s="49"/>
      <c r="I21" s="28" t="s">
        <v>22</v>
      </c>
      <c r="J21" s="29">
        <v>2.0</v>
      </c>
      <c r="K21" s="30">
        <v>6.0</v>
      </c>
      <c r="L21" s="30">
        <v>12.0</v>
      </c>
      <c r="M21" s="31"/>
      <c r="N21" s="25"/>
      <c r="O21" s="25"/>
      <c r="P21" s="2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4.5" customHeight="1">
      <c r="A22" s="23">
        <v>15.0</v>
      </c>
      <c r="B22" s="24" t="s">
        <v>49</v>
      </c>
      <c r="C22" s="25"/>
      <c r="D22" s="25"/>
      <c r="E22" s="25"/>
      <c r="F22" s="26"/>
      <c r="G22" s="32" t="s">
        <v>50</v>
      </c>
      <c r="H22" s="26"/>
      <c r="I22" s="50" t="s">
        <v>25</v>
      </c>
      <c r="J22" s="29">
        <v>1.0</v>
      </c>
      <c r="K22" s="30">
        <v>2.92</v>
      </c>
      <c r="L22" s="30">
        <f t="shared" ref="L22:L46" si="1">J22*K22</f>
        <v>2.92</v>
      </c>
      <c r="M22" s="31" t="s">
        <v>51</v>
      </c>
      <c r="N22" s="25"/>
      <c r="O22" s="25"/>
      <c r="P22" s="2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1">
        <v>17.0</v>
      </c>
      <c r="B23" s="24" t="s">
        <v>52</v>
      </c>
      <c r="C23" s="25"/>
      <c r="D23" s="25"/>
      <c r="E23" s="25"/>
      <c r="F23" s="26"/>
      <c r="G23" s="34" t="s">
        <v>53</v>
      </c>
      <c r="H23" s="26"/>
      <c r="I23" s="50" t="s">
        <v>34</v>
      </c>
      <c r="J23" s="29">
        <v>50.0</v>
      </c>
      <c r="K23" s="30">
        <v>0.0468</v>
      </c>
      <c r="L23" s="30">
        <f t="shared" si="1"/>
        <v>2.34</v>
      </c>
      <c r="M23" s="31" t="s">
        <v>54</v>
      </c>
      <c r="N23" s="25"/>
      <c r="O23" s="25"/>
      <c r="P23" s="2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3.75" customHeight="1">
      <c r="A24" s="23">
        <v>18.0</v>
      </c>
      <c r="B24" s="24" t="s">
        <v>55</v>
      </c>
      <c r="C24" s="25"/>
      <c r="D24" s="25"/>
      <c r="E24" s="25"/>
      <c r="F24" s="26"/>
      <c r="G24" s="34" t="s">
        <v>56</v>
      </c>
      <c r="H24" s="26"/>
      <c r="I24" s="50" t="s">
        <v>34</v>
      </c>
      <c r="J24" s="29">
        <v>5.0</v>
      </c>
      <c r="K24" s="30">
        <v>1.006</v>
      </c>
      <c r="L24" s="30">
        <f t="shared" si="1"/>
        <v>5.03</v>
      </c>
      <c r="M24" s="31" t="s">
        <v>57</v>
      </c>
      <c r="N24" s="25"/>
      <c r="O24" s="25"/>
      <c r="P24" s="2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7.25" customHeight="1">
      <c r="A25" s="23">
        <v>19.0</v>
      </c>
      <c r="B25" s="24" t="s">
        <v>58</v>
      </c>
      <c r="C25" s="25"/>
      <c r="D25" s="25"/>
      <c r="E25" s="25"/>
      <c r="F25" s="26"/>
      <c r="G25" s="34" t="s">
        <v>59</v>
      </c>
      <c r="H25" s="26"/>
      <c r="I25" s="50" t="s">
        <v>34</v>
      </c>
      <c r="J25" s="29">
        <v>7.0</v>
      </c>
      <c r="K25" s="30">
        <v>0.28</v>
      </c>
      <c r="L25" s="30">
        <f t="shared" si="1"/>
        <v>1.96</v>
      </c>
      <c r="M25" s="31" t="s">
        <v>60</v>
      </c>
      <c r="N25" s="25"/>
      <c r="O25" s="25"/>
      <c r="P25" s="2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3.75" customHeight="1">
      <c r="A26" s="51">
        <v>20.0</v>
      </c>
      <c r="B26" s="24" t="s">
        <v>61</v>
      </c>
      <c r="C26" s="25"/>
      <c r="D26" s="25"/>
      <c r="E26" s="25"/>
      <c r="F26" s="26"/>
      <c r="G26" s="34" t="s">
        <v>62</v>
      </c>
      <c r="H26" s="26"/>
      <c r="I26" s="50" t="s">
        <v>34</v>
      </c>
      <c r="J26" s="29">
        <v>7.0</v>
      </c>
      <c r="K26" s="30">
        <v>0.4446</v>
      </c>
      <c r="L26" s="30">
        <f t="shared" si="1"/>
        <v>3.1122</v>
      </c>
      <c r="M26" s="31" t="s">
        <v>60</v>
      </c>
      <c r="N26" s="25"/>
      <c r="O26" s="25"/>
      <c r="P26" s="2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3.75" customHeight="1">
      <c r="A27" s="23">
        <v>21.0</v>
      </c>
      <c r="B27" s="24" t="s">
        <v>63</v>
      </c>
      <c r="C27" s="25"/>
      <c r="D27" s="25"/>
      <c r="E27" s="25"/>
      <c r="F27" s="26"/>
      <c r="G27" s="34" t="s">
        <v>64</v>
      </c>
      <c r="H27" s="26"/>
      <c r="I27" s="50" t="s">
        <v>34</v>
      </c>
      <c r="J27" s="29">
        <v>10.0</v>
      </c>
      <c r="K27" s="30">
        <v>0.4</v>
      </c>
      <c r="L27" s="30">
        <f t="shared" si="1"/>
        <v>4</v>
      </c>
      <c r="M27" s="31" t="s">
        <v>51</v>
      </c>
      <c r="N27" s="25"/>
      <c r="O27" s="25"/>
      <c r="P27" s="2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3.75" customHeight="1">
      <c r="A28" s="23">
        <v>22.0</v>
      </c>
      <c r="B28" s="24" t="s">
        <v>65</v>
      </c>
      <c r="C28" s="25"/>
      <c r="D28" s="25"/>
      <c r="E28" s="25"/>
      <c r="F28" s="26"/>
      <c r="G28" s="34" t="s">
        <v>66</v>
      </c>
      <c r="H28" s="26"/>
      <c r="I28" s="50" t="s">
        <v>34</v>
      </c>
      <c r="J28" s="29">
        <v>10.0</v>
      </c>
      <c r="K28" s="30">
        <v>0.632</v>
      </c>
      <c r="L28" s="30">
        <f t="shared" si="1"/>
        <v>6.32</v>
      </c>
      <c r="M28" s="31"/>
      <c r="N28" s="25"/>
      <c r="O28" s="25"/>
      <c r="P28" s="2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3.75" customHeight="1">
      <c r="A29" s="51">
        <v>23.0</v>
      </c>
      <c r="B29" s="24" t="s">
        <v>67</v>
      </c>
      <c r="C29" s="25"/>
      <c r="D29" s="25"/>
      <c r="E29" s="25"/>
      <c r="F29" s="26"/>
      <c r="G29" s="34" t="s">
        <v>68</v>
      </c>
      <c r="H29" s="26"/>
      <c r="I29" s="50" t="s">
        <v>25</v>
      </c>
      <c r="J29" s="29">
        <v>1.0</v>
      </c>
      <c r="K29" s="30">
        <v>2.09</v>
      </c>
      <c r="L29" s="30">
        <f t="shared" si="1"/>
        <v>2.09</v>
      </c>
      <c r="M29" s="31"/>
      <c r="N29" s="25"/>
      <c r="O29" s="25"/>
      <c r="P29" s="2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3.75" customHeight="1">
      <c r="A30" s="23">
        <v>24.0</v>
      </c>
      <c r="B30" s="24" t="s">
        <v>69</v>
      </c>
      <c r="C30" s="25"/>
      <c r="D30" s="25"/>
      <c r="E30" s="25"/>
      <c r="F30" s="26"/>
      <c r="G30" s="34" t="s">
        <v>70</v>
      </c>
      <c r="H30" s="26"/>
      <c r="I30" s="50" t="s">
        <v>25</v>
      </c>
      <c r="J30" s="29">
        <v>1.0</v>
      </c>
      <c r="K30" s="30">
        <v>12.21</v>
      </c>
      <c r="L30" s="30">
        <f t="shared" si="1"/>
        <v>12.21</v>
      </c>
      <c r="M30" s="31"/>
      <c r="N30" s="25"/>
      <c r="O30" s="25"/>
      <c r="P30" s="2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3">
        <v>25.0</v>
      </c>
      <c r="B31" s="24" t="s">
        <v>71</v>
      </c>
      <c r="C31" s="25"/>
      <c r="D31" s="25"/>
      <c r="E31" s="25"/>
      <c r="F31" s="26"/>
      <c r="G31" s="34" t="s">
        <v>72</v>
      </c>
      <c r="H31" s="26"/>
      <c r="I31" s="50" t="s">
        <v>25</v>
      </c>
      <c r="J31" s="29">
        <v>2.0</v>
      </c>
      <c r="K31" s="30">
        <v>1.041</v>
      </c>
      <c r="L31" s="30">
        <f t="shared" si="1"/>
        <v>2.082</v>
      </c>
      <c r="M31" s="31" t="s">
        <v>73</v>
      </c>
      <c r="N31" s="25"/>
      <c r="O31" s="25"/>
      <c r="P31" s="2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1">
        <v>26.0</v>
      </c>
      <c r="B32" s="24" t="s">
        <v>74</v>
      </c>
      <c r="C32" s="25"/>
      <c r="D32" s="25"/>
      <c r="E32" s="25"/>
      <c r="F32" s="26"/>
      <c r="G32" s="34" t="s">
        <v>75</v>
      </c>
      <c r="H32" s="26"/>
      <c r="I32" s="50" t="s">
        <v>25</v>
      </c>
      <c r="J32" s="29">
        <v>10.0</v>
      </c>
      <c r="K32" s="30">
        <v>0.417</v>
      </c>
      <c r="L32" s="30">
        <f t="shared" si="1"/>
        <v>4.17</v>
      </c>
      <c r="M32" s="31" t="s">
        <v>51</v>
      </c>
      <c r="N32" s="25"/>
      <c r="O32" s="25"/>
      <c r="P32" s="2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1">
        <v>29.0</v>
      </c>
      <c r="B33" s="24" t="s">
        <v>76</v>
      </c>
      <c r="C33" s="25"/>
      <c r="D33" s="25"/>
      <c r="E33" s="25"/>
      <c r="F33" s="26"/>
      <c r="G33" s="34" t="s">
        <v>77</v>
      </c>
      <c r="H33" s="26"/>
      <c r="I33" s="50" t="s">
        <v>25</v>
      </c>
      <c r="J33" s="29">
        <v>4.0</v>
      </c>
      <c r="K33" s="30">
        <v>1.88</v>
      </c>
      <c r="L33" s="30">
        <f t="shared" si="1"/>
        <v>7.52</v>
      </c>
      <c r="M33" s="31"/>
      <c r="N33" s="25"/>
      <c r="O33" s="25"/>
      <c r="P33" s="2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3">
        <v>30.0</v>
      </c>
      <c r="B34" s="24" t="s">
        <v>78</v>
      </c>
      <c r="C34" s="25"/>
      <c r="D34" s="25"/>
      <c r="E34" s="25"/>
      <c r="F34" s="26"/>
      <c r="G34" s="34" t="s">
        <v>79</v>
      </c>
      <c r="H34" s="26"/>
      <c r="I34" s="50" t="s">
        <v>25</v>
      </c>
      <c r="J34" s="29">
        <v>1.0</v>
      </c>
      <c r="K34" s="30">
        <v>30.37</v>
      </c>
      <c r="L34" s="30">
        <f t="shared" si="1"/>
        <v>30.37</v>
      </c>
      <c r="M34" s="31"/>
      <c r="N34" s="25"/>
      <c r="O34" s="25"/>
      <c r="P34" s="2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7.25" customHeight="1">
      <c r="A35" s="23">
        <v>31.0</v>
      </c>
      <c r="B35" s="24" t="s">
        <v>80</v>
      </c>
      <c r="C35" s="25"/>
      <c r="D35" s="25"/>
      <c r="E35" s="25"/>
      <c r="F35" s="26"/>
      <c r="G35" s="34" t="s">
        <v>81</v>
      </c>
      <c r="H35" s="26"/>
      <c r="I35" s="50" t="s">
        <v>22</v>
      </c>
      <c r="J35" s="29">
        <v>4.0</v>
      </c>
      <c r="K35" s="30">
        <v>0.78</v>
      </c>
      <c r="L35" s="30">
        <f t="shared" si="1"/>
        <v>3.12</v>
      </c>
      <c r="M35" s="31"/>
      <c r="N35" s="25"/>
      <c r="O35" s="25"/>
      <c r="P35" s="2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1">
        <v>32.0</v>
      </c>
      <c r="B36" s="24" t="s">
        <v>82</v>
      </c>
      <c r="C36" s="25"/>
      <c r="D36" s="25"/>
      <c r="E36" s="25"/>
      <c r="F36" s="26"/>
      <c r="G36" s="34" t="s">
        <v>83</v>
      </c>
      <c r="H36" s="26"/>
      <c r="I36" s="50" t="s">
        <v>25</v>
      </c>
      <c r="J36" s="29">
        <v>1.0</v>
      </c>
      <c r="K36" s="30">
        <v>9.34</v>
      </c>
      <c r="L36" s="30">
        <f t="shared" si="1"/>
        <v>9.34</v>
      </c>
      <c r="M36" s="31"/>
      <c r="N36" s="25"/>
      <c r="O36" s="25"/>
      <c r="P36" s="2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3">
        <v>33.0</v>
      </c>
      <c r="B37" s="24" t="s">
        <v>84</v>
      </c>
      <c r="C37" s="25"/>
      <c r="D37" s="25"/>
      <c r="E37" s="25"/>
      <c r="F37" s="26"/>
      <c r="G37" s="34" t="s">
        <v>85</v>
      </c>
      <c r="H37" s="26"/>
      <c r="I37" s="50" t="s">
        <v>25</v>
      </c>
      <c r="J37" s="29">
        <v>1.0</v>
      </c>
      <c r="K37" s="30">
        <v>11.68</v>
      </c>
      <c r="L37" s="30">
        <f t="shared" si="1"/>
        <v>11.68</v>
      </c>
      <c r="M37" s="31"/>
      <c r="N37" s="25"/>
      <c r="O37" s="25"/>
      <c r="P37" s="2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L38" s="30">
        <f t="shared" si="1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L39" s="30">
        <f t="shared" si="1"/>
        <v>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3">
        <v>34.0</v>
      </c>
      <c r="B40" s="24"/>
      <c r="C40" s="25"/>
      <c r="D40" s="25"/>
      <c r="E40" s="25"/>
      <c r="F40" s="26"/>
      <c r="G40" s="32"/>
      <c r="H40" s="26"/>
      <c r="I40" s="50"/>
      <c r="J40" s="29"/>
      <c r="K40" s="30"/>
      <c r="L40" s="30">
        <f t="shared" si="1"/>
        <v>0</v>
      </c>
      <c r="M40" s="31"/>
      <c r="N40" s="25"/>
      <c r="O40" s="25"/>
      <c r="P40" s="2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1">
        <v>35.0</v>
      </c>
      <c r="B41" s="24"/>
      <c r="C41" s="25"/>
      <c r="D41" s="25"/>
      <c r="E41" s="25"/>
      <c r="F41" s="26"/>
      <c r="G41" s="32"/>
      <c r="H41" s="26"/>
      <c r="I41" s="50"/>
      <c r="J41" s="29"/>
      <c r="K41" s="30"/>
      <c r="L41" s="30">
        <f t="shared" si="1"/>
        <v>0</v>
      </c>
      <c r="M41" s="31"/>
      <c r="N41" s="25"/>
      <c r="O41" s="25"/>
      <c r="P41" s="2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3">
        <v>36.0</v>
      </c>
      <c r="B42" s="24"/>
      <c r="C42" s="25"/>
      <c r="D42" s="25"/>
      <c r="E42" s="25"/>
      <c r="F42" s="26"/>
      <c r="G42" s="32"/>
      <c r="H42" s="26"/>
      <c r="I42" s="50"/>
      <c r="J42" s="29"/>
      <c r="K42" s="30"/>
      <c r="L42" s="30">
        <f t="shared" si="1"/>
        <v>0</v>
      </c>
      <c r="M42" s="31"/>
      <c r="N42" s="25"/>
      <c r="O42" s="25"/>
      <c r="P42" s="2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3">
        <v>37.0</v>
      </c>
      <c r="B43" s="24"/>
      <c r="C43" s="25"/>
      <c r="D43" s="25"/>
      <c r="E43" s="25"/>
      <c r="F43" s="26"/>
      <c r="G43" s="32"/>
      <c r="H43" s="26"/>
      <c r="I43" s="50"/>
      <c r="J43" s="29"/>
      <c r="K43" s="30"/>
      <c r="L43" s="30">
        <f t="shared" si="1"/>
        <v>0</v>
      </c>
      <c r="M43" s="31"/>
      <c r="N43" s="25"/>
      <c r="O43" s="25"/>
      <c r="P43" s="2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1">
        <v>38.0</v>
      </c>
      <c r="B44" s="24"/>
      <c r="C44" s="25"/>
      <c r="D44" s="25"/>
      <c r="E44" s="25"/>
      <c r="F44" s="26"/>
      <c r="G44" s="32"/>
      <c r="H44" s="26"/>
      <c r="I44" s="50"/>
      <c r="J44" s="29"/>
      <c r="K44" s="30"/>
      <c r="L44" s="30">
        <f t="shared" si="1"/>
        <v>0</v>
      </c>
      <c r="M44" s="31"/>
      <c r="N44" s="25"/>
      <c r="O44" s="25"/>
      <c r="P44" s="2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3">
        <v>39.0</v>
      </c>
      <c r="B45" s="24"/>
      <c r="C45" s="25"/>
      <c r="D45" s="25"/>
      <c r="E45" s="25"/>
      <c r="F45" s="26"/>
      <c r="G45" s="32"/>
      <c r="H45" s="26"/>
      <c r="I45" s="50"/>
      <c r="J45" s="29"/>
      <c r="K45" s="30"/>
      <c r="L45" s="30">
        <f t="shared" si="1"/>
        <v>0</v>
      </c>
      <c r="M45" s="31"/>
      <c r="N45" s="25"/>
      <c r="O45" s="25"/>
      <c r="P45" s="2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3">
        <v>40.0</v>
      </c>
      <c r="B46" s="24"/>
      <c r="C46" s="25"/>
      <c r="D46" s="25"/>
      <c r="E46" s="25"/>
      <c r="F46" s="26"/>
      <c r="G46" s="32"/>
      <c r="H46" s="26"/>
      <c r="I46" s="50"/>
      <c r="J46" s="29"/>
      <c r="K46" s="30"/>
      <c r="L46" s="30">
        <f t="shared" si="1"/>
        <v>0</v>
      </c>
      <c r="M46" s="31"/>
      <c r="N46" s="25"/>
      <c r="O46" s="25"/>
      <c r="P46" s="2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2"/>
      <c r="B47" s="47"/>
      <c r="C47" s="47"/>
      <c r="D47" s="47"/>
      <c r="E47" s="47"/>
      <c r="F47" s="47"/>
      <c r="G47" s="47"/>
      <c r="H47" s="47"/>
      <c r="I47" s="47"/>
      <c r="J47" s="53"/>
      <c r="K47" s="17" t="s">
        <v>86</v>
      </c>
      <c r="L47" s="54">
        <f>SUM(L10:L46)</f>
        <v>389.6042</v>
      </c>
      <c r="M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0">
    <mergeCell ref="M25:P25"/>
    <mergeCell ref="M26:P26"/>
    <mergeCell ref="M27:P27"/>
    <mergeCell ref="M28:P28"/>
    <mergeCell ref="M29:P29"/>
    <mergeCell ref="M30:P30"/>
    <mergeCell ref="M31:P31"/>
    <mergeCell ref="M41:P41"/>
    <mergeCell ref="M42:P42"/>
    <mergeCell ref="M43:P43"/>
    <mergeCell ref="M44:P44"/>
    <mergeCell ref="M45:P45"/>
    <mergeCell ref="M46:P46"/>
    <mergeCell ref="M47:P47"/>
    <mergeCell ref="M32:P32"/>
    <mergeCell ref="M33:P33"/>
    <mergeCell ref="M34:P34"/>
    <mergeCell ref="M35:P35"/>
    <mergeCell ref="M36:P36"/>
    <mergeCell ref="M37:P37"/>
    <mergeCell ref="M40:P40"/>
    <mergeCell ref="E5:L5"/>
    <mergeCell ref="A7:L7"/>
    <mergeCell ref="B8:F8"/>
    <mergeCell ref="G8:H8"/>
    <mergeCell ref="B1:D1"/>
    <mergeCell ref="F1:H1"/>
    <mergeCell ref="K1:L1"/>
    <mergeCell ref="M1:P7"/>
    <mergeCell ref="B3:D3"/>
    <mergeCell ref="F3:H3"/>
    <mergeCell ref="B5:D5"/>
    <mergeCell ref="M8:P8"/>
    <mergeCell ref="A9:P9"/>
    <mergeCell ref="B10:F10"/>
    <mergeCell ref="G10:H10"/>
    <mergeCell ref="M10:P10"/>
    <mergeCell ref="G11:H11"/>
    <mergeCell ref="M11:P11"/>
    <mergeCell ref="B11:F11"/>
    <mergeCell ref="B12:F12"/>
    <mergeCell ref="G12:H12"/>
    <mergeCell ref="B13:F13"/>
    <mergeCell ref="G13:H13"/>
    <mergeCell ref="B14:F14"/>
    <mergeCell ref="G14:H14"/>
    <mergeCell ref="M12:P12"/>
    <mergeCell ref="M13:P13"/>
    <mergeCell ref="M14:P14"/>
    <mergeCell ref="M15:P15"/>
    <mergeCell ref="M16:P16"/>
    <mergeCell ref="S16:S17"/>
    <mergeCell ref="M17:P17"/>
    <mergeCell ref="B22:F22"/>
    <mergeCell ref="G22:H22"/>
    <mergeCell ref="M18:P18"/>
    <mergeCell ref="M19:P19"/>
    <mergeCell ref="M20:P20"/>
    <mergeCell ref="M21:P21"/>
    <mergeCell ref="M22:P22"/>
    <mergeCell ref="M23:P23"/>
    <mergeCell ref="M24:P24"/>
    <mergeCell ref="B37:F37"/>
    <mergeCell ref="G37:H37"/>
    <mergeCell ref="B40:F40"/>
    <mergeCell ref="G40:H40"/>
    <mergeCell ref="B41:F41"/>
    <mergeCell ref="G41:H41"/>
    <mergeCell ref="G42:H42"/>
    <mergeCell ref="B42:F42"/>
    <mergeCell ref="B43:F43"/>
    <mergeCell ref="G43:H43"/>
    <mergeCell ref="B44:F44"/>
    <mergeCell ref="G44:H44"/>
    <mergeCell ref="B45:F45"/>
    <mergeCell ref="G45:H45"/>
    <mergeCell ref="A47:J47"/>
    <mergeCell ref="B15:F15"/>
    <mergeCell ref="G15:H15"/>
    <mergeCell ref="B16:F16"/>
    <mergeCell ref="G16:H16"/>
    <mergeCell ref="B17:F17"/>
    <mergeCell ref="G17:H17"/>
    <mergeCell ref="G18:H18"/>
    <mergeCell ref="B18:F18"/>
    <mergeCell ref="B19:F19"/>
    <mergeCell ref="G19:H19"/>
    <mergeCell ref="B20:F20"/>
    <mergeCell ref="G20:H20"/>
    <mergeCell ref="B21:F21"/>
    <mergeCell ref="B23:F23"/>
    <mergeCell ref="G23:H23"/>
    <mergeCell ref="B24:F24"/>
    <mergeCell ref="G24:H24"/>
    <mergeCell ref="B25:F25"/>
    <mergeCell ref="G25:H25"/>
    <mergeCell ref="G26:H26"/>
    <mergeCell ref="B26:F26"/>
    <mergeCell ref="B27:F27"/>
    <mergeCell ref="G27:H27"/>
    <mergeCell ref="B28:F28"/>
    <mergeCell ref="G28:H28"/>
    <mergeCell ref="B29:F29"/>
    <mergeCell ref="G29:H29"/>
    <mergeCell ref="B30:F30"/>
    <mergeCell ref="G30:H30"/>
    <mergeCell ref="B31:F31"/>
    <mergeCell ref="G31:H31"/>
    <mergeCell ref="B32:F32"/>
    <mergeCell ref="G32:H32"/>
    <mergeCell ref="G33:H33"/>
    <mergeCell ref="B33:F33"/>
    <mergeCell ref="B34:F34"/>
    <mergeCell ref="G34:H34"/>
    <mergeCell ref="B35:F35"/>
    <mergeCell ref="G35:H35"/>
    <mergeCell ref="B36:F36"/>
    <mergeCell ref="G36:H36"/>
    <mergeCell ref="B46:F46"/>
    <mergeCell ref="G46:H46"/>
  </mergeCells>
  <dataValidations>
    <dataValidation type="list" allowBlank="1" showErrorMessage="1" sqref="K3">
      <formula1>DATI!$B$2:$B$17</formula1>
    </dataValidation>
    <dataValidation type="list" allowBlank="1" showErrorMessage="1" sqref="I22:I37 I40:I46">
      <formula1>DATI!$F$2:$F$17</formula1>
    </dataValidation>
    <dataValidation type="list" allowBlank="1" showErrorMessage="1" sqref="B5">
      <formula1>DATI!$A$2:$A$17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13"/>
    <col customWidth="1" min="3" max="3" width="11.0"/>
    <col customWidth="1" min="4" max="4" width="31.5"/>
    <col customWidth="1" min="5" max="6" width="11.0"/>
  </cols>
  <sheetData>
    <row r="1" ht="15.75" customHeight="1">
      <c r="A1" s="55" t="s">
        <v>87</v>
      </c>
      <c r="B1" s="12"/>
      <c r="C1" s="12"/>
      <c r="D1" s="1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56" t="s">
        <v>88</v>
      </c>
      <c r="B2" s="57"/>
      <c r="C2" s="58"/>
      <c r="D2" s="59" t="s">
        <v>89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56" t="s">
        <v>90</v>
      </c>
      <c r="B3" s="57"/>
      <c r="C3" s="60"/>
      <c r="D3" s="61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56" t="s">
        <v>91</v>
      </c>
      <c r="B4" s="62"/>
      <c r="C4" s="60"/>
      <c r="D4" s="60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3" t="s">
        <v>92</v>
      </c>
      <c r="B5" s="62" t="str">
        <f>DISTINTA!F5</f>
        <v/>
      </c>
      <c r="C5" s="60"/>
      <c r="D5" s="60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4" t="s">
        <v>93</v>
      </c>
      <c r="B6" s="65"/>
      <c r="C6" s="60"/>
      <c r="D6" s="60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56" t="s">
        <v>94</v>
      </c>
      <c r="B7" s="66"/>
      <c r="C7" s="60"/>
      <c r="D7" s="60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56" t="s">
        <v>95</v>
      </c>
      <c r="B8" s="57"/>
      <c r="C8" s="60"/>
      <c r="D8" s="60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56" t="s">
        <v>96</v>
      </c>
      <c r="B9" s="66"/>
      <c r="C9" s="67"/>
      <c r="D9" s="6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C2:C9"/>
    <mergeCell ref="D3:D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5.25"/>
    <col customWidth="1" min="3" max="3" width="21.0"/>
    <col customWidth="1" min="4" max="4" width="38.0"/>
    <col customWidth="1" min="5" max="5" width="14.88"/>
    <col customWidth="1" min="6" max="6" width="28.88"/>
  </cols>
  <sheetData>
    <row r="1" ht="15.75" customHeight="1">
      <c r="A1" s="68" t="s">
        <v>97</v>
      </c>
      <c r="B1" s="68" t="s">
        <v>98</v>
      </c>
      <c r="C1" s="68" t="s">
        <v>5</v>
      </c>
      <c r="D1" s="68" t="s">
        <v>99</v>
      </c>
      <c r="E1" s="68" t="s">
        <v>3</v>
      </c>
      <c r="F1" s="68" t="s">
        <v>15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69">
        <v>1.0</v>
      </c>
      <c r="B2" s="70" t="s">
        <v>100</v>
      </c>
      <c r="C2" s="71" t="s">
        <v>101</v>
      </c>
      <c r="D2" s="72" t="s">
        <v>102</v>
      </c>
      <c r="E2" s="73" t="s">
        <v>103</v>
      </c>
      <c r="F2" s="72" t="s">
        <v>25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69">
        <v>2.0</v>
      </c>
      <c r="B3" s="70" t="s">
        <v>104</v>
      </c>
      <c r="C3" s="71" t="s">
        <v>105</v>
      </c>
      <c r="D3" s="72" t="s">
        <v>102</v>
      </c>
      <c r="E3" s="73" t="s">
        <v>106</v>
      </c>
      <c r="F3" s="72" t="s">
        <v>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9">
        <v>3.0</v>
      </c>
      <c r="B4" s="70" t="s">
        <v>107</v>
      </c>
      <c r="C4" s="71" t="s">
        <v>108</v>
      </c>
      <c r="D4" s="72" t="s">
        <v>102</v>
      </c>
      <c r="E4" s="73" t="s">
        <v>109</v>
      </c>
      <c r="F4" s="72" t="s">
        <v>110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9">
        <v>4.0</v>
      </c>
      <c r="B5" s="70" t="s">
        <v>111</v>
      </c>
      <c r="C5" s="71" t="s">
        <v>112</v>
      </c>
      <c r="D5" s="72" t="s">
        <v>102</v>
      </c>
      <c r="E5" s="73" t="s">
        <v>113</v>
      </c>
      <c r="F5" s="72" t="s">
        <v>114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9">
        <v>5.0</v>
      </c>
      <c r="B6" s="70" t="s">
        <v>115</v>
      </c>
      <c r="C6" s="71" t="s">
        <v>116</v>
      </c>
      <c r="D6" s="72" t="s">
        <v>102</v>
      </c>
      <c r="E6" s="73" t="s">
        <v>117</v>
      </c>
      <c r="F6" s="72" t="s">
        <v>118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9">
        <v>6.0</v>
      </c>
      <c r="B7" s="70" t="s">
        <v>119</v>
      </c>
      <c r="C7" s="71" t="s">
        <v>120</v>
      </c>
      <c r="D7" s="72" t="s">
        <v>102</v>
      </c>
      <c r="E7" s="73" t="s">
        <v>121</v>
      </c>
      <c r="F7" s="72" t="s">
        <v>122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9">
        <v>7.0</v>
      </c>
      <c r="B8" s="70" t="s">
        <v>123</v>
      </c>
      <c r="C8" s="71" t="s">
        <v>124</v>
      </c>
      <c r="D8" s="72" t="s">
        <v>102</v>
      </c>
      <c r="E8" s="73" t="s">
        <v>125</v>
      </c>
      <c r="F8" s="72" t="s">
        <v>126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9">
        <v>8.0</v>
      </c>
      <c r="B9" s="70" t="s">
        <v>127</v>
      </c>
      <c r="C9" s="71" t="s">
        <v>128</v>
      </c>
      <c r="D9" s="72" t="s">
        <v>129</v>
      </c>
      <c r="E9" s="73" t="s">
        <v>130</v>
      </c>
      <c r="F9" s="72" t="s">
        <v>34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9">
        <v>9.0</v>
      </c>
      <c r="B10" s="70" t="s">
        <v>131</v>
      </c>
      <c r="C10" s="71" t="s">
        <v>132</v>
      </c>
      <c r="D10" s="72" t="s">
        <v>129</v>
      </c>
      <c r="E10" s="73" t="s">
        <v>133</v>
      </c>
      <c r="F10" s="72" t="s">
        <v>134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69">
        <v>10.0</v>
      </c>
      <c r="B11" s="70" t="s">
        <v>135</v>
      </c>
      <c r="C11" s="71" t="s">
        <v>101</v>
      </c>
      <c r="D11" s="72" t="s">
        <v>136</v>
      </c>
      <c r="E11" s="73" t="s">
        <v>137</v>
      </c>
      <c r="F11" s="72" t="s">
        <v>138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9">
        <v>11.0</v>
      </c>
      <c r="B12" s="70" t="s">
        <v>139</v>
      </c>
      <c r="C12" s="71" t="s">
        <v>105</v>
      </c>
      <c r="D12" s="72" t="s">
        <v>129</v>
      </c>
      <c r="E12" s="73" t="s">
        <v>140</v>
      </c>
      <c r="F12" s="72" t="s">
        <v>141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9">
        <v>12.0</v>
      </c>
      <c r="B13" s="70" t="s">
        <v>142</v>
      </c>
      <c r="C13" s="71" t="s">
        <v>143</v>
      </c>
      <c r="D13" s="72" t="s">
        <v>136</v>
      </c>
      <c r="E13" s="73" t="s">
        <v>144</v>
      </c>
      <c r="F13" s="72" t="s">
        <v>145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9">
        <v>13.0</v>
      </c>
      <c r="B14" s="70" t="s">
        <v>146</v>
      </c>
      <c r="C14" s="71" t="s">
        <v>147</v>
      </c>
      <c r="D14" s="72" t="s">
        <v>102</v>
      </c>
      <c r="E14" s="73" t="s">
        <v>148</v>
      </c>
      <c r="F14" s="7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9">
        <v>14.0</v>
      </c>
      <c r="B15" s="70" t="s">
        <v>149</v>
      </c>
      <c r="C15" s="71" t="s">
        <v>132</v>
      </c>
      <c r="D15" s="72" t="s">
        <v>102</v>
      </c>
      <c r="E15" s="73" t="s">
        <v>150</v>
      </c>
      <c r="F15" s="72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9">
        <v>15.0</v>
      </c>
      <c r="B16" s="70" t="s">
        <v>151</v>
      </c>
      <c r="C16" s="71" t="s">
        <v>152</v>
      </c>
      <c r="D16" s="72" t="s">
        <v>102</v>
      </c>
      <c r="E16" s="73" t="s">
        <v>153</v>
      </c>
      <c r="F16" s="7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9">
        <v>16.0</v>
      </c>
      <c r="B17" s="70" t="s">
        <v>154</v>
      </c>
      <c r="C17" s="71" t="s">
        <v>155</v>
      </c>
      <c r="D17" s="72" t="s">
        <v>102</v>
      </c>
      <c r="E17" s="73" t="s">
        <v>156</v>
      </c>
      <c r="F17" s="7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2025-01-21T16:33:04Z</dcterms:created>
  <dc:creator>ORSINI ROBERTO</dc:creator>
</cp:coreProperties>
</file>