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INTA" sheetId="1" r:id="rId4"/>
    <sheet state="visible" name="UFF. ACQ" sheetId="2" r:id="rId5"/>
    <sheet state="visible" name="DATI" sheetId="3" r:id="rId6"/>
  </sheets>
  <definedNames/>
  <calcPr/>
  <extLst>
    <ext uri="GoogleSheetsCustomDataVersion2">
      <go:sheetsCustomData xmlns:go="http://customooxmlschemas.google.com/" r:id="rId7" roundtripDataChecksum="tZN7UQl6h2UiY20FlfV0VA1q8INhJYFCoAMbqAXgAY4="/>
    </ext>
  </extLst>
</workbook>
</file>

<file path=xl/sharedStrings.xml><?xml version="1.0" encoding="utf-8"?>
<sst xmlns="http://schemas.openxmlformats.org/spreadsheetml/2006/main" count="133" uniqueCount="108">
  <si>
    <t>GRUPPO TW</t>
  </si>
  <si>
    <t>REFERENTE ACQUISTI</t>
  </si>
  <si>
    <t>Dorigo Federico</t>
  </si>
  <si>
    <t>COORDINATORE</t>
  </si>
  <si>
    <t>Orsini Roberto</t>
  </si>
  <si>
    <t>SEDE</t>
  </si>
  <si>
    <t>MTB</t>
  </si>
  <si>
    <t>INDIRIZZO SEDE</t>
  </si>
  <si>
    <t>via J. Sansovino 6 Montebelluna (TV)</t>
  </si>
  <si>
    <t>CODICE PROGETTO</t>
  </si>
  <si>
    <t>6131 3 808 2024</t>
  </si>
  <si>
    <t>N° ORDINE</t>
  </si>
  <si>
    <t>NUMERO ARTICOLO</t>
  </si>
  <si>
    <t>DESCRIZIONE</t>
  </si>
  <si>
    <t>CODICE ARTICOLO
 FORNITORE</t>
  </si>
  <si>
    <t>FORNITORE</t>
  </si>
  <si>
    <t>N° PEZZI</t>
  </si>
  <si>
    <t>PREZZO PER UNITA'
(IVA ESCLUSA)</t>
  </si>
  <si>
    <t>TOTALE
(IVA ESCLUSA)</t>
  </si>
  <si>
    <t>NOTE
( ES. MISURE - COLORE - TAGLIO )</t>
  </si>
  <si>
    <t>Interruttore DIP NDS-03-V, SPST, 25 mA, 3 posizioni, attuatore a Rialzato, Foro passante</t>
  </si>
  <si>
    <t>NDS-03-V</t>
  </si>
  <si>
    <t>RS COMPONENTS</t>
  </si>
  <si>
    <t>È 1 sacchetto da 5 componenti</t>
  </si>
  <si>
    <t>Copertura protettiva ebm-papst in Plastica, 80 x 80mm, ventola da 80mm</t>
  </si>
  <si>
    <t>92162-2-2929</t>
  </si>
  <si>
    <t>Diodo DiodesZetex, Foro passante, 10 A, 100 V, TO-220, Bassa dispersione, 3 Pin</t>
  </si>
  <si>
    <t>SDT10A100CT</t>
  </si>
  <si>
    <t>è una confezione da 10, quindi solo 1 confezione</t>
  </si>
  <si>
    <t>scheda con sensore Hall 49E  codice Produttore</t>
  </si>
  <si>
    <t>2850-HALLSENSOR</t>
  </si>
  <si>
    <t>FUTURA ELETTRONICA (FUTURA GROUP)</t>
  </si>
  <si>
    <t>Modulo DC-DC Step-Down regolabile 4,5-28 volt 3A</t>
  </si>
  <si>
    <t>3085-MP1584ADJ</t>
  </si>
  <si>
    <t>Dip Switch 3 posizioni</t>
  </si>
  <si>
    <t>4700-DIP/3</t>
  </si>
  <si>
    <t>TOTALE</t>
  </si>
  <si>
    <t>Riservato ITS - UFFICIO ACQUISTI</t>
  </si>
  <si>
    <t>Ordinato il:</t>
  </si>
  <si>
    <t>Note</t>
  </si>
  <si>
    <t>Consegnato il:</t>
  </si>
  <si>
    <t>Ordine evaso:</t>
  </si>
  <si>
    <t>Fornitore</t>
  </si>
  <si>
    <t>Rif. Ordine</t>
  </si>
  <si>
    <t>N° ordine</t>
  </si>
  <si>
    <t>Cons. Prev.</t>
  </si>
  <si>
    <t>Rif. Ddt</t>
  </si>
  <si>
    <t>NUMERO ORDINE</t>
  </si>
  <si>
    <t>CODICE REGIONALE</t>
  </si>
  <si>
    <t>TITOLO SINTETICO</t>
  </si>
  <si>
    <t>6131-0001-1032-2023</t>
  </si>
  <si>
    <t>Vicenza</t>
  </si>
  <si>
    <t>AUTOMAZIONE SIST. MECCATRONICI</t>
  </si>
  <si>
    <t>PORTINARI SERGIO</t>
  </si>
  <si>
    <t>6131-0002-1032-2023</t>
  </si>
  <si>
    <t>Padova</t>
  </si>
  <si>
    <t>CONSOLARO DANIELE</t>
  </si>
  <si>
    <t>6131-0003-1032-2023</t>
  </si>
  <si>
    <t>Verona</t>
  </si>
  <si>
    <t>FEDELE DI MARCO</t>
  </si>
  <si>
    <t>ROBOT ITALY</t>
  </si>
  <si>
    <t>6131-0004-1032-2023</t>
  </si>
  <si>
    <t>Montebelluna</t>
  </si>
  <si>
    <t>ORSINI ROBERTO</t>
  </si>
  <si>
    <t>DISTRELEC</t>
  </si>
  <si>
    <t>6131-0005-1032-2023</t>
  </si>
  <si>
    <t>Mestre-VE</t>
  </si>
  <si>
    <t>GAROFALO ANTONIO</t>
  </si>
  <si>
    <t>MICROBOT DI PROSSEDA MIRKO</t>
  </si>
  <si>
    <t>6131-0006-1032-2023</t>
  </si>
  <si>
    <t>Conegliano SINISTRA PIAVE</t>
  </si>
  <si>
    <t>VENDRAMINI CHRISTIAN</t>
  </si>
  <si>
    <t>LEROY MERLIN</t>
  </si>
  <si>
    <t>6131-0007-1032-2023</t>
  </si>
  <si>
    <t>Belluno</t>
  </si>
  <si>
    <t>ZANCANARO MICHELE</t>
  </si>
  <si>
    <t>FERRAMENTA NEGRIN</t>
  </si>
  <si>
    <t>6131-0008-1032-2023</t>
  </si>
  <si>
    <t>Treviso</t>
  </si>
  <si>
    <t>INNOVAZIONE DI PROCESSI E PRODOTTI MECCANICI</t>
  </si>
  <si>
    <t>BONSO TIZIANO</t>
  </si>
  <si>
    <t>CONRAD</t>
  </si>
  <si>
    <t>6131-0009-1032-2023</t>
  </si>
  <si>
    <t>Schio</t>
  </si>
  <si>
    <t>MAINO GIAMPAOLO</t>
  </si>
  <si>
    <t>LASER IDEA SRL</t>
  </si>
  <si>
    <t>6131-0010-1032-2023</t>
  </si>
  <si>
    <t>INDUSTRIA 4.0</t>
  </si>
  <si>
    <t>SGROI ANDREA</t>
  </si>
  <si>
    <t>Arkengraf Srl - PlexyFaiDaTe</t>
  </si>
  <si>
    <t>6131-0011-1032-2023</t>
  </si>
  <si>
    <t>VINANTE LEONARDO</t>
  </si>
  <si>
    <t>MARCHIOL SPA</t>
  </si>
  <si>
    <t>6131-0012-1032-2023</t>
  </si>
  <si>
    <t>Thiene</t>
  </si>
  <si>
    <t>FRIGO GUIDO</t>
  </si>
  <si>
    <t>FERRAMENTA ZORZETTO</t>
  </si>
  <si>
    <t>6131-0013-1032-2023</t>
  </si>
  <si>
    <t>Portogruaro</t>
  </si>
  <si>
    <t>TOMMASI MASSIMILIANO</t>
  </si>
  <si>
    <t>6131-0014-1032-2023</t>
  </si>
  <si>
    <t>GASPANI GIANCARLO</t>
  </si>
  <si>
    <t>6131-0015-1032-2023</t>
  </si>
  <si>
    <t>Bassano del Grappa</t>
  </si>
  <si>
    <t>FIORESE VLADIMIRO</t>
  </si>
  <si>
    <t>6131-0016-1032-2023</t>
  </si>
  <si>
    <t>Este PD (PADOVA SUD)</t>
  </si>
  <si>
    <t>TONIOLO LILIANA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</si>
</sst>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.00"/>
  </numFmts>
  <fonts count="15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  <font>
      <sz val="12.0"/>
      <color rgb="FF000000"/>
      <name val="Calibri"/>
    </font>
    <font>
      <sz val="12.0"/>
      <color theme="1"/>
      <name val="Calibri"/>
    </font>
    <font>
      <b/>
      <sz val="10.0"/>
      <color rgb="FF000000"/>
      <name val="Arial"/>
    </font>
    <font>
      <sz val="11.0"/>
      <color theme="1"/>
      <name val="Arial"/>
    </font>
    <font>
      <sz val="10.0"/>
      <color rgb="FF000000"/>
      <name val="Times New Roman"/>
    </font>
    <font>
      <sz val="10.0"/>
      <color theme="1"/>
      <name val="Times New Roman"/>
    </font>
    <font>
      <sz val="10.0"/>
      <color rgb="FF000000"/>
      <name val="Calibri"/>
    </font>
    <font>
      <b/>
      <sz val="11.0"/>
      <color rgb="FF000000"/>
      <name val="Calibri"/>
    </font>
    <font>
      <b/>
      <sz val="8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bottom" wrapText="0"/>
    </xf>
    <xf borderId="2" fillId="2" fontId="1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3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4" fillId="2" fontId="1" numFmtId="0" xfId="0" applyAlignment="1" applyBorder="1" applyFont="1">
      <alignment horizontal="left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3" fontId="3" numFmtId="0" xfId="0" applyAlignment="1" applyBorder="1" applyFill="1" applyFont="1">
      <alignment shrinkToFit="0" vertical="bottom" wrapText="0"/>
    </xf>
    <xf borderId="8" fillId="0" fontId="5" numFmtId="0" xfId="0" applyBorder="1" applyFont="1"/>
    <xf borderId="9" fillId="0" fontId="5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0"/>
    </xf>
    <xf borderId="4" fillId="4" fontId="2" numFmtId="0" xfId="0" applyAlignment="1" applyBorder="1" applyFont="1">
      <alignment horizontal="center" shrinkToFit="0" vertical="center" wrapText="0"/>
    </xf>
    <xf borderId="7" fillId="5" fontId="3" numFmtId="0" xfId="0" applyAlignment="1" applyBorder="1" applyFill="1" applyFont="1">
      <alignment shrinkToFit="0" vertical="bottom" wrapText="0"/>
    </xf>
    <xf borderId="10" fillId="0" fontId="6" numFmtId="0" xfId="0" applyAlignment="1" applyBorder="1" applyFont="1">
      <alignment horizontal="center" shrinkToFit="0" vertical="bottom" wrapText="0"/>
    </xf>
    <xf borderId="11" fillId="0" fontId="6" numFmtId="0" xfId="0" applyAlignment="1" applyBorder="1" applyFont="1">
      <alignment horizontal="center" shrinkToFit="0" vertical="center" wrapText="0"/>
    </xf>
    <xf borderId="12" fillId="0" fontId="5" numFmtId="0" xfId="0" applyBorder="1" applyFont="1"/>
    <xf borderId="13" fillId="0" fontId="5" numFmtId="0" xfId="0" applyBorder="1" applyFont="1"/>
    <xf borderId="10" fillId="0" fontId="3" numFmtId="0" xfId="0" applyAlignment="1" applyBorder="1" applyFont="1">
      <alignment readingOrder="0" shrinkToFit="0" vertical="bottom" wrapText="0"/>
    </xf>
    <xf borderId="11" fillId="0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0"/>
    </xf>
    <xf borderId="10" fillId="0" fontId="6" numFmtId="0" xfId="0" applyAlignment="1" applyBorder="1" applyFont="1">
      <alignment horizontal="center" readingOrder="0" shrinkToFit="0" vertical="bottom" wrapText="0"/>
    </xf>
    <xf borderId="10" fillId="0" fontId="3" numFmtId="0" xfId="0" applyAlignment="1" applyBorder="1" applyFont="1">
      <alignment horizontal="center" readingOrder="0" shrinkToFit="0" vertical="bottom" wrapText="0"/>
    </xf>
    <xf borderId="10" fillId="0" fontId="6" numFmtId="164" xfId="0" applyAlignment="1" applyBorder="1" applyFont="1" applyNumberFormat="1">
      <alignment horizontal="center" readingOrder="0" shrinkToFit="0" vertical="bottom" wrapText="0"/>
    </xf>
    <xf borderId="10" fillId="0" fontId="7" numFmtId="164" xfId="0" applyAlignment="1" applyBorder="1" applyFont="1" applyNumberFormat="1">
      <alignment horizontal="center" shrinkToFit="0" vertical="bottom" wrapText="0"/>
    </xf>
    <xf borderId="11" fillId="0" fontId="3" numFmtId="0" xfId="0" applyAlignment="1" applyBorder="1" applyFont="1">
      <alignment shrinkToFit="0" vertical="bottom" wrapText="1"/>
    </xf>
    <xf borderId="0" fillId="0" fontId="8" numFmtId="164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11" fillId="0" fontId="10" numFmtId="0" xfId="0" applyAlignment="1" applyBorder="1" applyFont="1">
      <alignment horizontal="left" shrinkToFit="0" vertical="bottom" wrapText="1"/>
    </xf>
    <xf borderId="11" fillId="0" fontId="11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10" fillId="0" fontId="6" numFmtId="164" xfId="0" applyAlignment="1" applyBorder="1" applyFont="1" applyNumberFormat="1">
      <alignment horizontal="center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shrinkToFit="0" vertical="bottom" wrapText="1"/>
    </xf>
    <xf borderId="11" fillId="0" fontId="3" numFmtId="0" xfId="0" applyAlignment="1" applyBorder="1" applyFont="1">
      <alignment horizontal="left" shrinkToFit="0" vertical="bottom" wrapText="0"/>
    </xf>
    <xf borderId="11" fillId="0" fontId="6" numFmtId="0" xfId="0" applyAlignment="1" applyBorder="1" applyFont="1">
      <alignment horizontal="left" shrinkToFit="0" vertical="bottom" wrapText="1"/>
    </xf>
    <xf borderId="11" fillId="0" fontId="3" numFmtId="0" xfId="0" applyAlignment="1" applyBorder="1" applyFont="1">
      <alignment shrinkToFit="0" vertical="bottom" wrapText="0"/>
    </xf>
    <xf borderId="14" fillId="0" fontId="4" numFmtId="0" xfId="0" applyAlignment="1" applyBorder="1" applyFont="1">
      <alignment shrinkToFit="0" vertical="bottom" wrapText="0"/>
    </xf>
    <xf borderId="14" fillId="0" fontId="5" numFmtId="0" xfId="0" applyBorder="1" applyFont="1"/>
    <xf borderId="15" fillId="0" fontId="5" numFmtId="0" xfId="0" applyBorder="1" applyFont="1"/>
    <xf borderId="10" fillId="0" fontId="1" numFmtId="164" xfId="0" applyAlignment="1" applyBorder="1" applyFont="1" applyNumberFormat="1">
      <alignment horizontal="center" shrinkToFit="0" vertical="bottom" wrapText="0"/>
    </xf>
    <xf borderId="4" fillId="6" fontId="6" numFmtId="0" xfId="0" applyAlignment="1" applyBorder="1" applyFill="1" applyFont="1">
      <alignment horizontal="center" shrinkToFit="0" vertical="bottom" wrapText="0"/>
    </xf>
    <xf borderId="16" fillId="0" fontId="12" numFmtId="0" xfId="0" applyAlignment="1" applyBorder="1" applyFont="1">
      <alignment shrinkToFit="0" vertical="bottom" wrapText="0"/>
    </xf>
    <xf borderId="16" fillId="0" fontId="6" numFmtId="0" xfId="0" applyAlignment="1" applyBorder="1" applyFont="1">
      <alignment shrinkToFit="0" vertical="bottom" wrapText="0"/>
    </xf>
    <xf borderId="17" fillId="0" fontId="6" numFmtId="0" xfId="0" applyAlignment="1" applyBorder="1" applyFont="1">
      <alignment shrinkToFit="0" vertical="bottom" wrapText="0"/>
    </xf>
    <xf borderId="18" fillId="0" fontId="6" numFmtId="0" xfId="0" applyAlignment="1" applyBorder="1" applyFont="1">
      <alignment horizontal="center" shrinkToFit="0" vertical="bottom" wrapText="0"/>
    </xf>
    <xf borderId="19" fillId="0" fontId="5" numFmtId="0" xfId="0" applyBorder="1" applyFont="1"/>
    <xf borderId="19" fillId="0" fontId="6" numFmtId="0" xfId="0" applyAlignment="1" applyBorder="1" applyFont="1">
      <alignment horizontal="center" shrinkToFit="0" vertical="bottom" wrapText="0"/>
    </xf>
    <xf borderId="16" fillId="0" fontId="6" numFmtId="0" xfId="0" applyAlignment="1" applyBorder="1" applyFont="1">
      <alignment horizontal="center" shrinkToFit="0" vertical="bottom" wrapText="0"/>
    </xf>
    <xf borderId="3" fillId="0" fontId="12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20" fillId="0" fontId="5" numFmtId="0" xfId="0" applyBorder="1" applyFont="1"/>
    <xf borderId="1" fillId="4" fontId="1" numFmtId="0" xfId="0" applyAlignment="1" applyBorder="1" applyFont="1">
      <alignment horizontal="center" shrinkToFit="0" vertical="bottom" wrapText="0"/>
    </xf>
    <xf borderId="21" fillId="7" fontId="13" numFmtId="0" xfId="0" applyAlignment="1" applyBorder="1" applyFill="1" applyFont="1">
      <alignment horizontal="center" shrinkToFit="0" vertical="bottom" wrapText="0"/>
    </xf>
    <xf borderId="21" fillId="4" fontId="13" numFmtId="0" xfId="0" applyAlignment="1" applyBorder="1" applyFont="1">
      <alignment horizontal="center" shrinkToFit="0" vertical="bottom" wrapText="0"/>
    </xf>
    <xf borderId="21" fillId="7" fontId="13" numFmtId="0" xfId="0" applyAlignment="1" applyBorder="1" applyFont="1">
      <alignment horizontal="left" shrinkToFit="0" vertical="bottom" wrapText="0"/>
    </xf>
    <xf borderId="22" fillId="7" fontId="13" numFmtId="0" xfId="0" applyAlignment="1" applyBorder="1" applyFont="1">
      <alignment shrinkToFit="0" vertical="bottom" wrapText="0"/>
    </xf>
    <xf borderId="22" fillId="8" fontId="1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123825</xdr:rowOff>
    </xdr:from>
    <xdr:ext cx="2809875" cy="1047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21.25"/>
    <col customWidth="1" min="3" max="3" width="18.88"/>
    <col customWidth="1" min="4" max="4" width="19.75"/>
    <col customWidth="1" min="5" max="5" width="24.75"/>
    <col customWidth="1" min="6" max="6" width="18.88"/>
    <col customWidth="1" min="7" max="7" width="17.25"/>
    <col customWidth="1" min="8" max="8" width="13.0"/>
    <col customWidth="1" min="9" max="9" width="44.38"/>
    <col customWidth="1" min="10" max="10" width="22.63"/>
    <col customWidth="1" min="11" max="11" width="39.38"/>
    <col customWidth="1" min="12" max="12" width="23.75"/>
    <col customWidth="1" min="16" max="16" width="16.88"/>
    <col customWidth="1" min="17" max="17" width="13.75"/>
    <col customWidth="1" min="18" max="18" width="15.38"/>
  </cols>
  <sheetData>
    <row r="1" ht="15.75" customHeight="1">
      <c r="A1" s="1" t="s">
        <v>0</v>
      </c>
      <c r="B1" s="2">
        <v>1.0</v>
      </c>
      <c r="E1" s="1" t="s">
        <v>1</v>
      </c>
      <c r="F1" s="3" t="s">
        <v>2</v>
      </c>
      <c r="I1" s="4"/>
      <c r="J1" s="1" t="s">
        <v>3</v>
      </c>
      <c r="K1" s="3" t="s">
        <v>4</v>
      </c>
      <c r="M1" s="5"/>
      <c r="Q1" s="6"/>
      <c r="R1" s="6"/>
    </row>
    <row r="2" ht="15.75" customHeight="1">
      <c r="A2" s="7"/>
      <c r="B2" s="8"/>
      <c r="C2" s="8"/>
      <c r="D2" s="8"/>
      <c r="E2" s="7"/>
      <c r="F2" s="7"/>
      <c r="G2" s="7"/>
      <c r="H2" s="7"/>
      <c r="I2" s="7"/>
      <c r="J2" s="7"/>
      <c r="K2" s="7"/>
      <c r="L2" s="7"/>
      <c r="Q2" s="6"/>
      <c r="R2" s="6"/>
    </row>
    <row r="3" ht="15.75" customHeight="1">
      <c r="A3" s="1" t="s">
        <v>5</v>
      </c>
      <c r="B3" s="2" t="s">
        <v>6</v>
      </c>
      <c r="E3" s="1" t="s">
        <v>7</v>
      </c>
      <c r="F3" s="3" t="s">
        <v>8</v>
      </c>
      <c r="I3" s="4"/>
      <c r="J3" s="1" t="s">
        <v>9</v>
      </c>
      <c r="K3" s="9"/>
      <c r="L3" s="6" t="s">
        <v>10</v>
      </c>
      <c r="Q3" s="6"/>
      <c r="R3" s="6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Q4" s="6"/>
      <c r="R4" s="6"/>
    </row>
    <row r="5" ht="15.75" customHeight="1">
      <c r="A5" s="1" t="s">
        <v>11</v>
      </c>
      <c r="B5" s="10">
        <v>6.0</v>
      </c>
      <c r="E5" s="11"/>
      <c r="F5" s="12"/>
      <c r="G5" s="12"/>
      <c r="H5" s="12"/>
      <c r="I5" s="12"/>
      <c r="J5" s="12"/>
      <c r="K5" s="12"/>
      <c r="L5" s="13"/>
      <c r="Q5" s="6"/>
      <c r="R5" s="6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Q6" s="6"/>
      <c r="R6" s="6"/>
    </row>
    <row r="7" ht="15.75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  <c r="Q7" s="6"/>
      <c r="R7" s="6"/>
    </row>
    <row r="8" ht="33.75" customHeight="1">
      <c r="A8" s="17" t="s">
        <v>12</v>
      </c>
      <c r="B8" s="18" t="s">
        <v>13</v>
      </c>
      <c r="C8" s="12"/>
      <c r="D8" s="12"/>
      <c r="E8" s="12"/>
      <c r="F8" s="13"/>
      <c r="G8" s="19" t="s">
        <v>14</v>
      </c>
      <c r="H8" s="13"/>
      <c r="I8" s="20" t="s">
        <v>15</v>
      </c>
      <c r="J8" s="20" t="s">
        <v>16</v>
      </c>
      <c r="K8" s="17" t="s">
        <v>17</v>
      </c>
      <c r="L8" s="20" t="s">
        <v>18</v>
      </c>
      <c r="M8" s="21" t="s">
        <v>19</v>
      </c>
      <c r="N8" s="12"/>
      <c r="O8" s="12"/>
      <c r="P8" s="13"/>
      <c r="Q8" s="6"/>
      <c r="R8" s="6"/>
    </row>
    <row r="9" ht="15.75" customHeight="1">
      <c r="A9" s="22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6"/>
      <c r="R9" s="6"/>
    </row>
    <row r="10">
      <c r="A10" s="23">
        <v>1.0</v>
      </c>
      <c r="B10" s="24" t="s">
        <v>20</v>
      </c>
      <c r="C10" s="25"/>
      <c r="D10" s="25"/>
      <c r="E10" s="25"/>
      <c r="F10" s="26"/>
      <c r="G10" s="24" t="s">
        <v>21</v>
      </c>
      <c r="H10" s="26"/>
      <c r="I10" s="27" t="s">
        <v>22</v>
      </c>
      <c r="J10" s="23">
        <v>5.0</v>
      </c>
      <c r="K10" s="23">
        <v>5.8</v>
      </c>
      <c r="L10" s="23">
        <v>5.8</v>
      </c>
      <c r="M10" s="24" t="s">
        <v>23</v>
      </c>
      <c r="N10" s="25"/>
      <c r="O10" s="25"/>
      <c r="P10" s="26"/>
      <c r="Q10" s="6"/>
      <c r="R10" s="6"/>
    </row>
    <row r="11" ht="30.75" customHeight="1">
      <c r="A11" s="23">
        <v>2.0</v>
      </c>
      <c r="B11" s="24" t="s">
        <v>24</v>
      </c>
      <c r="C11" s="25"/>
      <c r="D11" s="25"/>
      <c r="E11" s="25"/>
      <c r="F11" s="26"/>
      <c r="G11" s="24" t="s">
        <v>25</v>
      </c>
      <c r="H11" s="26"/>
      <c r="I11" s="27" t="s">
        <v>22</v>
      </c>
      <c r="J11" s="23">
        <v>2.0</v>
      </c>
      <c r="K11" s="23">
        <v>3.8</v>
      </c>
      <c r="L11" s="23">
        <v>7.6</v>
      </c>
      <c r="M11" s="24"/>
      <c r="N11" s="25"/>
      <c r="O11" s="25"/>
      <c r="P11" s="26"/>
      <c r="Q11" s="6"/>
      <c r="R11" s="6"/>
    </row>
    <row r="12" ht="30.75" customHeight="1">
      <c r="A12" s="23">
        <v>3.0</v>
      </c>
      <c r="B12" s="24" t="s">
        <v>26</v>
      </c>
      <c r="C12" s="25"/>
      <c r="D12" s="25"/>
      <c r="E12" s="25"/>
      <c r="F12" s="26"/>
      <c r="G12" s="24" t="s">
        <v>27</v>
      </c>
      <c r="H12" s="26"/>
      <c r="I12" s="27" t="s">
        <v>22</v>
      </c>
      <c r="J12" s="23">
        <v>1.0</v>
      </c>
      <c r="K12" s="23">
        <v>2.92</v>
      </c>
      <c r="L12" s="23">
        <f t="shared" ref="L12:L47" si="1">J12*K12</f>
        <v>2.92</v>
      </c>
      <c r="M12" s="24" t="s">
        <v>28</v>
      </c>
      <c r="N12" s="25"/>
      <c r="O12" s="25"/>
      <c r="P12" s="26"/>
      <c r="Q12" s="6"/>
      <c r="R12" s="6"/>
    </row>
    <row r="13" ht="33.75" customHeight="1">
      <c r="A13" s="23">
        <v>4.0</v>
      </c>
      <c r="B13" s="28" t="s">
        <v>29</v>
      </c>
      <c r="C13" s="25"/>
      <c r="D13" s="25"/>
      <c r="E13" s="25"/>
      <c r="F13" s="26"/>
      <c r="G13" s="29" t="s">
        <v>30</v>
      </c>
      <c r="H13" s="26"/>
      <c r="I13" s="27" t="s">
        <v>31</v>
      </c>
      <c r="J13" s="30">
        <v>3.0</v>
      </c>
      <c r="K13" s="30">
        <v>3.51</v>
      </c>
      <c r="L13" s="23">
        <f t="shared" si="1"/>
        <v>10.53</v>
      </c>
      <c r="M13" s="24"/>
      <c r="N13" s="25"/>
      <c r="O13" s="25"/>
      <c r="P13" s="26"/>
      <c r="Q13" s="6"/>
      <c r="R13" s="6"/>
    </row>
    <row r="14" ht="25.5" customHeight="1">
      <c r="A14" s="23">
        <v>5.0</v>
      </c>
      <c r="B14" s="28" t="s">
        <v>32</v>
      </c>
      <c r="C14" s="25"/>
      <c r="D14" s="25"/>
      <c r="E14" s="25"/>
      <c r="F14" s="26"/>
      <c r="G14" s="29" t="s">
        <v>33</v>
      </c>
      <c r="H14" s="26"/>
      <c r="I14" s="27" t="s">
        <v>31</v>
      </c>
      <c r="J14" s="30">
        <v>2.0</v>
      </c>
      <c r="K14" s="30">
        <v>1.95</v>
      </c>
      <c r="L14" s="23">
        <f t="shared" si="1"/>
        <v>3.9</v>
      </c>
      <c r="M14" s="24"/>
      <c r="N14" s="25"/>
      <c r="O14" s="25"/>
      <c r="P14" s="26"/>
      <c r="Q14" s="6"/>
      <c r="R14" s="6"/>
    </row>
    <row r="15" ht="15.0" customHeight="1">
      <c r="A15" s="23">
        <v>6.0</v>
      </c>
      <c r="B15" s="28" t="s">
        <v>34</v>
      </c>
      <c r="C15" s="25"/>
      <c r="D15" s="25"/>
      <c r="E15" s="25"/>
      <c r="F15" s="26"/>
      <c r="G15" s="29" t="s">
        <v>35</v>
      </c>
      <c r="H15" s="26"/>
      <c r="I15" s="27" t="s">
        <v>31</v>
      </c>
      <c r="J15" s="31">
        <v>4.0</v>
      </c>
      <c r="K15" s="32">
        <v>0.546</v>
      </c>
      <c r="L15" s="33">
        <f t="shared" si="1"/>
        <v>2.184</v>
      </c>
      <c r="M15" s="34"/>
      <c r="N15" s="25"/>
      <c r="O15" s="25"/>
      <c r="P15" s="26"/>
      <c r="Q15" s="35">
        <f>SUM(L10:L17)</f>
        <v>32.934</v>
      </c>
      <c r="R15" s="6">
        <v>256.92</v>
      </c>
      <c r="S15" s="36">
        <f>R15-Q15</f>
        <v>223.986</v>
      </c>
    </row>
    <row r="16">
      <c r="A16" s="23">
        <v>7.0</v>
      </c>
      <c r="B16" s="37"/>
      <c r="C16" s="25"/>
      <c r="D16" s="25"/>
      <c r="E16" s="25"/>
      <c r="F16" s="26"/>
      <c r="G16" s="38"/>
      <c r="H16" s="26"/>
      <c r="I16" s="39"/>
      <c r="J16" s="40"/>
      <c r="K16" s="41"/>
      <c r="L16" s="33">
        <f t="shared" si="1"/>
        <v>0</v>
      </c>
      <c r="M16" s="34"/>
      <c r="N16" s="25"/>
      <c r="O16" s="25"/>
      <c r="P16" s="26"/>
      <c r="Q16" s="42"/>
      <c r="R16" s="43"/>
    </row>
    <row r="17">
      <c r="A17" s="23">
        <v>8.0</v>
      </c>
      <c r="B17" s="37"/>
      <c r="C17" s="25"/>
      <c r="D17" s="25"/>
      <c r="E17" s="25"/>
      <c r="F17" s="26"/>
      <c r="G17" s="44"/>
      <c r="H17" s="26"/>
      <c r="I17" s="39"/>
      <c r="J17" s="40"/>
      <c r="K17" s="41"/>
      <c r="L17" s="33">
        <f t="shared" si="1"/>
        <v>0</v>
      </c>
      <c r="M17" s="34"/>
      <c r="N17" s="25"/>
      <c r="O17" s="25"/>
      <c r="P17" s="26"/>
      <c r="Q17" s="6"/>
      <c r="R17" s="6"/>
    </row>
    <row r="18" ht="15.75" customHeight="1">
      <c r="A18" s="23">
        <v>9.0</v>
      </c>
      <c r="B18" s="45"/>
      <c r="C18" s="25"/>
      <c r="D18" s="25"/>
      <c r="E18" s="25"/>
      <c r="F18" s="26"/>
      <c r="G18" s="44"/>
      <c r="H18" s="26"/>
      <c r="I18" s="39"/>
      <c r="J18" s="40"/>
      <c r="K18" s="41"/>
      <c r="L18" s="33">
        <f t="shared" si="1"/>
        <v>0</v>
      </c>
      <c r="M18" s="34"/>
      <c r="N18" s="25"/>
      <c r="O18" s="25"/>
      <c r="P18" s="26"/>
      <c r="Q18" s="6"/>
      <c r="R18" s="6"/>
    </row>
    <row r="19" ht="15.75" customHeight="1">
      <c r="A19" s="23">
        <v>10.0</v>
      </c>
      <c r="B19" s="45"/>
      <c r="C19" s="25"/>
      <c r="D19" s="25"/>
      <c r="E19" s="25"/>
      <c r="F19" s="26"/>
      <c r="G19" s="44"/>
      <c r="H19" s="26"/>
      <c r="I19" s="39"/>
      <c r="J19" s="40"/>
      <c r="K19" s="41"/>
      <c r="L19" s="33">
        <f t="shared" si="1"/>
        <v>0</v>
      </c>
      <c r="M19" s="34"/>
      <c r="N19" s="25"/>
      <c r="O19" s="25"/>
      <c r="P19" s="26"/>
      <c r="Q19" s="6"/>
      <c r="R19" s="6"/>
    </row>
    <row r="20" ht="15.75" customHeight="1">
      <c r="A20" s="23">
        <v>11.0</v>
      </c>
      <c r="B20" s="45"/>
      <c r="C20" s="25"/>
      <c r="D20" s="25"/>
      <c r="E20" s="25"/>
      <c r="F20" s="26"/>
      <c r="G20" s="44"/>
      <c r="H20" s="26"/>
      <c r="I20" s="39"/>
      <c r="J20" s="40"/>
      <c r="K20" s="41"/>
      <c r="L20" s="33">
        <f t="shared" si="1"/>
        <v>0</v>
      </c>
      <c r="M20" s="34"/>
      <c r="N20" s="25"/>
      <c r="O20" s="25"/>
      <c r="P20" s="26"/>
      <c r="Q20" s="6"/>
      <c r="R20" s="6"/>
    </row>
    <row r="21" ht="15.75" customHeight="1">
      <c r="A21" s="23">
        <v>12.0</v>
      </c>
      <c r="B21" s="45"/>
      <c r="C21" s="25"/>
      <c r="D21" s="25"/>
      <c r="E21" s="25"/>
      <c r="F21" s="26"/>
      <c r="G21" s="44"/>
      <c r="H21" s="26"/>
      <c r="I21" s="39"/>
      <c r="J21" s="39"/>
      <c r="K21" s="41"/>
      <c r="L21" s="33">
        <f t="shared" si="1"/>
        <v>0</v>
      </c>
      <c r="M21" s="34"/>
      <c r="N21" s="25"/>
      <c r="O21" s="25"/>
      <c r="P21" s="26"/>
      <c r="Q21" s="6"/>
      <c r="R21" s="6"/>
    </row>
    <row r="22" ht="15.75" customHeight="1">
      <c r="A22" s="23">
        <v>13.0</v>
      </c>
      <c r="B22" s="45"/>
      <c r="C22" s="25"/>
      <c r="D22" s="25"/>
      <c r="E22" s="25"/>
      <c r="F22" s="26"/>
      <c r="G22" s="44"/>
      <c r="H22" s="26"/>
      <c r="I22" s="39"/>
      <c r="J22" s="39"/>
      <c r="K22" s="41"/>
      <c r="L22" s="33">
        <f t="shared" si="1"/>
        <v>0</v>
      </c>
      <c r="M22" s="34"/>
      <c r="N22" s="25"/>
      <c r="O22" s="25"/>
      <c r="P22" s="26"/>
      <c r="Q22" s="6"/>
      <c r="R22" s="6"/>
    </row>
    <row r="23" ht="15.75" customHeight="1">
      <c r="A23" s="23">
        <v>14.0</v>
      </c>
      <c r="B23" s="45"/>
      <c r="C23" s="25"/>
      <c r="D23" s="25"/>
      <c r="E23" s="25"/>
      <c r="F23" s="26"/>
      <c r="G23" s="46"/>
      <c r="H23" s="26"/>
      <c r="I23" s="39"/>
      <c r="J23" s="39"/>
      <c r="K23" s="41"/>
      <c r="L23" s="33">
        <f t="shared" si="1"/>
        <v>0</v>
      </c>
      <c r="M23" s="34"/>
      <c r="N23" s="25"/>
      <c r="O23" s="25"/>
      <c r="P23" s="26"/>
      <c r="Q23" s="6"/>
      <c r="R23" s="6"/>
    </row>
    <row r="24" ht="15.75" customHeight="1">
      <c r="A24" s="23">
        <v>15.0</v>
      </c>
      <c r="B24" s="45"/>
      <c r="C24" s="25"/>
      <c r="D24" s="25"/>
      <c r="E24" s="25"/>
      <c r="F24" s="26"/>
      <c r="G24" s="46"/>
      <c r="H24" s="26"/>
      <c r="I24" s="39"/>
      <c r="J24" s="39"/>
      <c r="K24" s="41"/>
      <c r="L24" s="33">
        <f t="shared" si="1"/>
        <v>0</v>
      </c>
      <c r="M24" s="34"/>
      <c r="N24" s="25"/>
      <c r="O24" s="25"/>
      <c r="P24" s="26"/>
      <c r="Q24" s="6"/>
      <c r="R24" s="6"/>
    </row>
    <row r="25" ht="15.75" customHeight="1">
      <c r="A25" s="23">
        <v>16.0</v>
      </c>
      <c r="B25" s="45"/>
      <c r="C25" s="25"/>
      <c r="D25" s="25"/>
      <c r="E25" s="25"/>
      <c r="F25" s="26"/>
      <c r="G25" s="46"/>
      <c r="H25" s="26"/>
      <c r="I25" s="39"/>
      <c r="J25" s="39"/>
      <c r="K25" s="41"/>
      <c r="L25" s="33">
        <f t="shared" si="1"/>
        <v>0</v>
      </c>
      <c r="M25" s="34"/>
      <c r="N25" s="25"/>
      <c r="O25" s="25"/>
      <c r="P25" s="26"/>
      <c r="Q25" s="6"/>
      <c r="R25" s="6"/>
    </row>
    <row r="26" ht="15.75" customHeight="1">
      <c r="A26" s="23">
        <v>17.0</v>
      </c>
      <c r="B26" s="45"/>
      <c r="C26" s="25"/>
      <c r="D26" s="25"/>
      <c r="E26" s="25"/>
      <c r="F26" s="26"/>
      <c r="G26" s="46"/>
      <c r="H26" s="26"/>
      <c r="I26" s="39"/>
      <c r="J26" s="39"/>
      <c r="K26" s="41"/>
      <c r="L26" s="33">
        <f t="shared" si="1"/>
        <v>0</v>
      </c>
      <c r="M26" s="34"/>
      <c r="N26" s="25"/>
      <c r="O26" s="25"/>
      <c r="P26" s="26"/>
      <c r="Q26" s="6"/>
      <c r="R26" s="6"/>
    </row>
    <row r="27" ht="15.75" customHeight="1">
      <c r="A27" s="23">
        <v>18.0</v>
      </c>
      <c r="B27" s="45"/>
      <c r="C27" s="25"/>
      <c r="D27" s="25"/>
      <c r="E27" s="25"/>
      <c r="F27" s="26"/>
      <c r="G27" s="46"/>
      <c r="H27" s="26"/>
      <c r="I27" s="39"/>
      <c r="J27" s="39"/>
      <c r="K27" s="41"/>
      <c r="L27" s="33">
        <f t="shared" si="1"/>
        <v>0</v>
      </c>
      <c r="M27" s="34"/>
      <c r="N27" s="25"/>
      <c r="O27" s="25"/>
      <c r="P27" s="26"/>
      <c r="Q27" s="6"/>
      <c r="R27" s="6"/>
    </row>
    <row r="28" ht="15.75" customHeight="1">
      <c r="A28" s="23">
        <v>19.0</v>
      </c>
      <c r="B28" s="45"/>
      <c r="C28" s="25"/>
      <c r="D28" s="25"/>
      <c r="E28" s="25"/>
      <c r="F28" s="26"/>
      <c r="G28" s="46"/>
      <c r="H28" s="26"/>
      <c r="I28" s="39"/>
      <c r="J28" s="39"/>
      <c r="K28" s="41"/>
      <c r="L28" s="33">
        <f t="shared" si="1"/>
        <v>0</v>
      </c>
      <c r="M28" s="34"/>
      <c r="N28" s="25"/>
      <c r="O28" s="25"/>
      <c r="P28" s="26"/>
      <c r="Q28" s="6"/>
      <c r="R28" s="6"/>
    </row>
    <row r="29" ht="15.75" customHeight="1">
      <c r="A29" s="23">
        <v>20.0</v>
      </c>
      <c r="B29" s="45"/>
      <c r="C29" s="25"/>
      <c r="D29" s="25"/>
      <c r="E29" s="25"/>
      <c r="F29" s="26"/>
      <c r="G29" s="46"/>
      <c r="H29" s="26"/>
      <c r="I29" s="39"/>
      <c r="J29" s="39"/>
      <c r="K29" s="41"/>
      <c r="L29" s="33">
        <f t="shared" si="1"/>
        <v>0</v>
      </c>
      <c r="M29" s="34"/>
      <c r="N29" s="25"/>
      <c r="O29" s="25"/>
      <c r="P29" s="26"/>
      <c r="Q29" s="6"/>
      <c r="R29" s="6"/>
    </row>
    <row r="30" ht="15.75" customHeight="1">
      <c r="A30" s="23">
        <v>21.0</v>
      </c>
      <c r="B30" s="45"/>
      <c r="C30" s="25"/>
      <c r="D30" s="25"/>
      <c r="E30" s="25"/>
      <c r="F30" s="26"/>
      <c r="G30" s="46"/>
      <c r="H30" s="26"/>
      <c r="I30" s="39"/>
      <c r="J30" s="39"/>
      <c r="K30" s="41"/>
      <c r="L30" s="33">
        <f t="shared" si="1"/>
        <v>0</v>
      </c>
      <c r="M30" s="34"/>
      <c r="N30" s="25"/>
      <c r="O30" s="25"/>
      <c r="P30" s="26"/>
      <c r="Q30" s="6"/>
      <c r="R30" s="6"/>
    </row>
    <row r="31" ht="15.75" customHeight="1">
      <c r="A31" s="23">
        <v>22.0</v>
      </c>
      <c r="B31" s="45"/>
      <c r="C31" s="25"/>
      <c r="D31" s="25"/>
      <c r="E31" s="25"/>
      <c r="F31" s="26"/>
      <c r="G31" s="46"/>
      <c r="H31" s="26"/>
      <c r="I31" s="39"/>
      <c r="J31" s="39"/>
      <c r="K31" s="41"/>
      <c r="L31" s="33">
        <f t="shared" si="1"/>
        <v>0</v>
      </c>
      <c r="M31" s="34"/>
      <c r="N31" s="25"/>
      <c r="O31" s="25"/>
      <c r="P31" s="26"/>
      <c r="Q31" s="6"/>
      <c r="R31" s="6"/>
    </row>
    <row r="32" ht="15.75" customHeight="1">
      <c r="A32" s="23">
        <v>23.0</v>
      </c>
      <c r="B32" s="45"/>
      <c r="C32" s="25"/>
      <c r="D32" s="25"/>
      <c r="E32" s="25"/>
      <c r="F32" s="26"/>
      <c r="G32" s="46"/>
      <c r="H32" s="26"/>
      <c r="I32" s="39"/>
      <c r="J32" s="39"/>
      <c r="K32" s="41"/>
      <c r="L32" s="33">
        <f t="shared" si="1"/>
        <v>0</v>
      </c>
      <c r="M32" s="34"/>
      <c r="N32" s="25"/>
      <c r="O32" s="25"/>
      <c r="P32" s="26"/>
      <c r="Q32" s="6"/>
      <c r="R32" s="6"/>
    </row>
    <row r="33" ht="15.75" customHeight="1">
      <c r="A33" s="23">
        <v>24.0</v>
      </c>
      <c r="B33" s="45"/>
      <c r="C33" s="25"/>
      <c r="D33" s="25"/>
      <c r="E33" s="25"/>
      <c r="F33" s="26"/>
      <c r="G33" s="46"/>
      <c r="H33" s="26"/>
      <c r="I33" s="39"/>
      <c r="J33" s="39"/>
      <c r="K33" s="41"/>
      <c r="L33" s="33">
        <f t="shared" si="1"/>
        <v>0</v>
      </c>
      <c r="M33" s="34"/>
      <c r="N33" s="25"/>
      <c r="O33" s="25"/>
      <c r="P33" s="26"/>
      <c r="Q33" s="6"/>
      <c r="R33" s="6"/>
    </row>
    <row r="34" ht="15.75" customHeight="1">
      <c r="A34" s="23">
        <v>25.0</v>
      </c>
      <c r="B34" s="45"/>
      <c r="C34" s="25"/>
      <c r="D34" s="25"/>
      <c r="E34" s="25"/>
      <c r="F34" s="26"/>
      <c r="G34" s="46"/>
      <c r="H34" s="26"/>
      <c r="I34" s="39"/>
      <c r="J34" s="39"/>
      <c r="K34" s="41"/>
      <c r="L34" s="33">
        <f t="shared" si="1"/>
        <v>0</v>
      </c>
      <c r="M34" s="34"/>
      <c r="N34" s="25"/>
      <c r="O34" s="25"/>
      <c r="P34" s="26"/>
      <c r="Q34" s="6"/>
      <c r="R34" s="6"/>
    </row>
    <row r="35" ht="15.75" customHeight="1">
      <c r="A35" s="23">
        <v>26.0</v>
      </c>
      <c r="B35" s="45"/>
      <c r="C35" s="25"/>
      <c r="D35" s="25"/>
      <c r="E35" s="25"/>
      <c r="F35" s="26"/>
      <c r="G35" s="46"/>
      <c r="H35" s="26"/>
      <c r="I35" s="39"/>
      <c r="J35" s="39"/>
      <c r="K35" s="41"/>
      <c r="L35" s="33">
        <f t="shared" si="1"/>
        <v>0</v>
      </c>
      <c r="M35" s="34"/>
      <c r="N35" s="25"/>
      <c r="O35" s="25"/>
      <c r="P35" s="26"/>
      <c r="Q35" s="6"/>
      <c r="R35" s="6"/>
    </row>
    <row r="36" ht="15.75" customHeight="1">
      <c r="A36" s="23">
        <v>27.0</v>
      </c>
      <c r="B36" s="45"/>
      <c r="C36" s="25"/>
      <c r="D36" s="25"/>
      <c r="E36" s="25"/>
      <c r="F36" s="26"/>
      <c r="G36" s="46"/>
      <c r="H36" s="26"/>
      <c r="I36" s="39"/>
      <c r="J36" s="39"/>
      <c r="K36" s="41"/>
      <c r="L36" s="33">
        <f t="shared" si="1"/>
        <v>0</v>
      </c>
      <c r="M36" s="34"/>
      <c r="N36" s="25"/>
      <c r="O36" s="25"/>
      <c r="P36" s="26"/>
      <c r="Q36" s="6"/>
      <c r="R36" s="6"/>
    </row>
    <row r="37" ht="15.75" customHeight="1">
      <c r="A37" s="23">
        <v>28.0</v>
      </c>
      <c r="B37" s="45"/>
      <c r="C37" s="25"/>
      <c r="D37" s="25"/>
      <c r="E37" s="25"/>
      <c r="F37" s="26"/>
      <c r="G37" s="46"/>
      <c r="H37" s="26"/>
      <c r="I37" s="39"/>
      <c r="J37" s="39"/>
      <c r="K37" s="41"/>
      <c r="L37" s="33">
        <f t="shared" si="1"/>
        <v>0</v>
      </c>
      <c r="M37" s="34"/>
      <c r="N37" s="25"/>
      <c r="O37" s="25"/>
      <c r="P37" s="26"/>
      <c r="Q37" s="6"/>
      <c r="R37" s="6"/>
    </row>
    <row r="38" ht="15.75" customHeight="1">
      <c r="A38" s="23">
        <v>29.0</v>
      </c>
      <c r="B38" s="45"/>
      <c r="C38" s="25"/>
      <c r="D38" s="25"/>
      <c r="E38" s="25"/>
      <c r="F38" s="26"/>
      <c r="G38" s="46"/>
      <c r="H38" s="26"/>
      <c r="I38" s="39"/>
      <c r="J38" s="39"/>
      <c r="K38" s="41"/>
      <c r="L38" s="33">
        <f t="shared" si="1"/>
        <v>0</v>
      </c>
      <c r="M38" s="34"/>
      <c r="N38" s="25"/>
      <c r="O38" s="25"/>
      <c r="P38" s="26"/>
      <c r="Q38" s="6"/>
      <c r="R38" s="6"/>
    </row>
    <row r="39" ht="15.75" customHeight="1">
      <c r="A39" s="23">
        <v>30.0</v>
      </c>
      <c r="B39" s="45"/>
      <c r="C39" s="25"/>
      <c r="D39" s="25"/>
      <c r="E39" s="25"/>
      <c r="F39" s="26"/>
      <c r="G39" s="46"/>
      <c r="H39" s="26"/>
      <c r="I39" s="39"/>
      <c r="J39" s="39"/>
      <c r="K39" s="41"/>
      <c r="L39" s="33">
        <f t="shared" si="1"/>
        <v>0</v>
      </c>
      <c r="M39" s="34"/>
      <c r="N39" s="25"/>
      <c r="O39" s="25"/>
      <c r="P39" s="26"/>
      <c r="Q39" s="6"/>
      <c r="R39" s="6"/>
    </row>
    <row r="40" ht="15.75" customHeight="1">
      <c r="A40" s="23">
        <v>31.0</v>
      </c>
      <c r="B40" s="45"/>
      <c r="C40" s="25"/>
      <c r="D40" s="25"/>
      <c r="E40" s="25"/>
      <c r="F40" s="26"/>
      <c r="G40" s="46"/>
      <c r="H40" s="26"/>
      <c r="I40" s="39"/>
      <c r="J40" s="39"/>
      <c r="K40" s="41"/>
      <c r="L40" s="33">
        <f t="shared" si="1"/>
        <v>0</v>
      </c>
      <c r="M40" s="34"/>
      <c r="N40" s="25"/>
      <c r="O40" s="25"/>
      <c r="P40" s="26"/>
      <c r="Q40" s="6"/>
      <c r="R40" s="6"/>
    </row>
    <row r="41" ht="15.75" customHeight="1">
      <c r="A41" s="23">
        <v>32.0</v>
      </c>
      <c r="B41" s="45"/>
      <c r="C41" s="25"/>
      <c r="D41" s="25"/>
      <c r="E41" s="25"/>
      <c r="F41" s="26"/>
      <c r="G41" s="46"/>
      <c r="H41" s="26"/>
      <c r="I41" s="39"/>
      <c r="J41" s="39"/>
      <c r="K41" s="41"/>
      <c r="L41" s="33">
        <f t="shared" si="1"/>
        <v>0</v>
      </c>
      <c r="M41" s="34"/>
      <c r="N41" s="25"/>
      <c r="O41" s="25"/>
      <c r="P41" s="26"/>
      <c r="Q41" s="6"/>
      <c r="R41" s="6"/>
    </row>
    <row r="42" ht="15.75" customHeight="1">
      <c r="A42" s="23">
        <v>33.0</v>
      </c>
      <c r="B42" s="45"/>
      <c r="C42" s="25"/>
      <c r="D42" s="25"/>
      <c r="E42" s="25"/>
      <c r="F42" s="26"/>
      <c r="G42" s="46"/>
      <c r="H42" s="26"/>
      <c r="I42" s="39"/>
      <c r="J42" s="39"/>
      <c r="K42" s="41"/>
      <c r="L42" s="33">
        <f t="shared" si="1"/>
        <v>0</v>
      </c>
      <c r="M42" s="34"/>
      <c r="N42" s="25"/>
      <c r="O42" s="25"/>
      <c r="P42" s="26"/>
      <c r="Q42" s="6"/>
      <c r="R42" s="6"/>
    </row>
    <row r="43" ht="15.75" customHeight="1">
      <c r="A43" s="23">
        <v>34.0</v>
      </c>
      <c r="B43" s="45"/>
      <c r="C43" s="25"/>
      <c r="D43" s="25"/>
      <c r="E43" s="25"/>
      <c r="F43" s="26"/>
      <c r="G43" s="46"/>
      <c r="H43" s="26"/>
      <c r="I43" s="39"/>
      <c r="J43" s="39"/>
      <c r="K43" s="41"/>
      <c r="L43" s="33">
        <f t="shared" si="1"/>
        <v>0</v>
      </c>
      <c r="M43" s="34"/>
      <c r="N43" s="25"/>
      <c r="O43" s="25"/>
      <c r="P43" s="26"/>
      <c r="Q43" s="6"/>
      <c r="R43" s="6"/>
    </row>
    <row r="44" ht="15.75" customHeight="1">
      <c r="A44" s="23">
        <v>35.0</v>
      </c>
      <c r="B44" s="45"/>
      <c r="C44" s="25"/>
      <c r="D44" s="25"/>
      <c r="E44" s="25"/>
      <c r="F44" s="26"/>
      <c r="G44" s="46"/>
      <c r="H44" s="26"/>
      <c r="I44" s="39"/>
      <c r="J44" s="39"/>
      <c r="K44" s="41"/>
      <c r="L44" s="33">
        <f t="shared" si="1"/>
        <v>0</v>
      </c>
      <c r="M44" s="34"/>
      <c r="N44" s="25"/>
      <c r="O44" s="25"/>
      <c r="P44" s="26"/>
      <c r="Q44" s="6"/>
      <c r="R44" s="6"/>
    </row>
    <row r="45" ht="15.75" customHeight="1">
      <c r="A45" s="23">
        <v>36.0</v>
      </c>
      <c r="B45" s="45"/>
      <c r="C45" s="25"/>
      <c r="D45" s="25"/>
      <c r="E45" s="25"/>
      <c r="F45" s="26"/>
      <c r="G45" s="46"/>
      <c r="H45" s="26"/>
      <c r="I45" s="39"/>
      <c r="J45" s="39"/>
      <c r="K45" s="41"/>
      <c r="L45" s="33">
        <f t="shared" si="1"/>
        <v>0</v>
      </c>
      <c r="M45" s="34"/>
      <c r="N45" s="25"/>
      <c r="O45" s="25"/>
      <c r="P45" s="26"/>
      <c r="Q45" s="6"/>
      <c r="R45" s="6"/>
    </row>
    <row r="46" ht="15.75" customHeight="1">
      <c r="A46" s="23">
        <v>37.0</v>
      </c>
      <c r="B46" s="45"/>
      <c r="C46" s="25"/>
      <c r="D46" s="25"/>
      <c r="E46" s="25"/>
      <c r="F46" s="26"/>
      <c r="G46" s="46"/>
      <c r="H46" s="26"/>
      <c r="I46" s="39"/>
      <c r="J46" s="39"/>
      <c r="K46" s="41"/>
      <c r="L46" s="33">
        <f t="shared" si="1"/>
        <v>0</v>
      </c>
      <c r="M46" s="34"/>
      <c r="N46" s="25"/>
      <c r="O46" s="25"/>
      <c r="P46" s="26"/>
      <c r="Q46" s="6"/>
      <c r="R46" s="6"/>
    </row>
    <row r="47" ht="15.75" customHeight="1">
      <c r="A47" s="23">
        <v>38.0</v>
      </c>
      <c r="B47" s="45"/>
      <c r="C47" s="25"/>
      <c r="D47" s="25"/>
      <c r="E47" s="25"/>
      <c r="F47" s="26"/>
      <c r="G47" s="46"/>
      <c r="H47" s="26"/>
      <c r="I47" s="39"/>
      <c r="J47" s="39"/>
      <c r="K47" s="41"/>
      <c r="L47" s="33">
        <f t="shared" si="1"/>
        <v>0</v>
      </c>
      <c r="M47" s="34"/>
      <c r="N47" s="25"/>
      <c r="O47" s="25"/>
      <c r="P47" s="26"/>
      <c r="Q47" s="6"/>
      <c r="R47" s="6"/>
    </row>
    <row r="48" ht="15.75" customHeight="1">
      <c r="A48" s="47"/>
      <c r="B48" s="48"/>
      <c r="C48" s="48"/>
      <c r="D48" s="48"/>
      <c r="E48" s="48"/>
      <c r="F48" s="48"/>
      <c r="G48" s="48"/>
      <c r="H48" s="48"/>
      <c r="I48" s="48"/>
      <c r="J48" s="49"/>
      <c r="K48" s="17" t="s">
        <v>36</v>
      </c>
      <c r="L48" s="50">
        <f>SUM(L10:L47)</f>
        <v>32.934</v>
      </c>
      <c r="M48" s="6"/>
      <c r="Q48" s="6"/>
      <c r="R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P49" s="6"/>
      <c r="Q49" s="6"/>
      <c r="R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P50" s="6"/>
      <c r="Q50" s="6"/>
      <c r="R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P51" s="6"/>
      <c r="Q51" s="6"/>
      <c r="R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P52" s="6"/>
      <c r="Q52" s="6"/>
      <c r="R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P53" s="6"/>
      <c r="Q53" s="6"/>
      <c r="R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P54" s="6"/>
      <c r="Q54" s="6"/>
      <c r="R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P55" s="6"/>
      <c r="Q55" s="6"/>
      <c r="R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P56" s="6"/>
      <c r="Q56" s="6"/>
      <c r="R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P57" s="6"/>
      <c r="Q57" s="6"/>
      <c r="R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P58" s="6"/>
      <c r="Q58" s="6"/>
      <c r="R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P59" s="6"/>
      <c r="Q59" s="6"/>
      <c r="R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P60" s="6"/>
      <c r="Q60" s="6"/>
      <c r="R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P61" s="6"/>
      <c r="Q61" s="6"/>
      <c r="R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P62" s="6"/>
      <c r="Q62" s="6"/>
      <c r="R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P63" s="6"/>
      <c r="Q63" s="6"/>
      <c r="R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P64" s="6"/>
      <c r="Q64" s="6"/>
      <c r="R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P65" s="6"/>
      <c r="Q65" s="6"/>
      <c r="R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P66" s="6"/>
      <c r="Q66" s="6"/>
      <c r="R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P67" s="6"/>
      <c r="Q67" s="6"/>
      <c r="R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P68" s="6"/>
      <c r="Q68" s="6"/>
      <c r="R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P69" s="6"/>
      <c r="Q69" s="6"/>
      <c r="R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P70" s="6"/>
      <c r="Q70" s="6"/>
      <c r="R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P71" s="6"/>
      <c r="Q71" s="6"/>
      <c r="R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P72" s="6"/>
      <c r="Q72" s="6"/>
      <c r="R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P73" s="6"/>
      <c r="Q73" s="6"/>
      <c r="R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P74" s="6"/>
      <c r="Q74" s="6"/>
      <c r="R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P75" s="6"/>
      <c r="Q75" s="6"/>
      <c r="R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P76" s="6"/>
      <c r="Q76" s="6"/>
      <c r="R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P77" s="6"/>
      <c r="Q77" s="6"/>
      <c r="R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P78" s="6"/>
      <c r="Q78" s="6"/>
      <c r="R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P79" s="6"/>
      <c r="Q79" s="6"/>
      <c r="R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P80" s="6"/>
      <c r="Q80" s="6"/>
      <c r="R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P81" s="6"/>
      <c r="Q81" s="6"/>
      <c r="R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P82" s="6"/>
      <c r="Q82" s="6"/>
      <c r="R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P83" s="6"/>
      <c r="Q83" s="6"/>
      <c r="R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P84" s="6"/>
      <c r="Q84" s="6"/>
      <c r="R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P85" s="6"/>
      <c r="Q85" s="6"/>
      <c r="R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P86" s="6"/>
      <c r="Q86" s="6"/>
      <c r="R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P87" s="6"/>
      <c r="Q87" s="6"/>
      <c r="R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P88" s="6"/>
      <c r="Q88" s="6"/>
      <c r="R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P89" s="6"/>
      <c r="Q89" s="6"/>
      <c r="R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P90" s="6"/>
      <c r="Q90" s="6"/>
      <c r="R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P91" s="6"/>
      <c r="Q91" s="6"/>
      <c r="R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P92" s="6"/>
      <c r="Q92" s="6"/>
      <c r="R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P93" s="6"/>
      <c r="Q93" s="6"/>
      <c r="R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P94" s="6"/>
      <c r="Q94" s="6"/>
      <c r="R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P95" s="6"/>
      <c r="Q95" s="6"/>
      <c r="R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P96" s="6"/>
      <c r="Q96" s="6"/>
      <c r="R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P97" s="6"/>
      <c r="Q97" s="6"/>
      <c r="R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P98" s="6"/>
      <c r="Q98" s="6"/>
      <c r="R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P99" s="6"/>
      <c r="Q99" s="6"/>
      <c r="R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P100" s="6"/>
      <c r="Q100" s="6"/>
      <c r="R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P101" s="6"/>
      <c r="Q101" s="6"/>
      <c r="R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P102" s="6"/>
      <c r="Q102" s="6"/>
      <c r="R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P103" s="6"/>
      <c r="Q103" s="6"/>
      <c r="R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P104" s="6"/>
      <c r="Q104" s="6"/>
      <c r="R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P105" s="6"/>
      <c r="Q105" s="6"/>
      <c r="R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P106" s="6"/>
      <c r="Q106" s="6"/>
      <c r="R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P107" s="6"/>
      <c r="Q107" s="6"/>
      <c r="R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P108" s="6"/>
      <c r="Q108" s="6"/>
      <c r="R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P109" s="6"/>
      <c r="Q109" s="6"/>
      <c r="R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P110" s="6"/>
      <c r="Q110" s="6"/>
      <c r="R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P111" s="6"/>
      <c r="Q111" s="6"/>
      <c r="R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P112" s="6"/>
      <c r="Q112" s="6"/>
      <c r="R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P113" s="6"/>
      <c r="Q113" s="6"/>
      <c r="R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P114" s="6"/>
      <c r="Q114" s="6"/>
      <c r="R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P115" s="6"/>
      <c r="Q115" s="6"/>
      <c r="R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P116" s="6"/>
      <c r="Q116" s="6"/>
      <c r="R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P117" s="6"/>
      <c r="Q117" s="6"/>
      <c r="R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P118" s="6"/>
      <c r="Q118" s="6"/>
      <c r="R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P119" s="6"/>
      <c r="Q119" s="6"/>
      <c r="R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P120" s="6"/>
      <c r="Q120" s="6"/>
      <c r="R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P121" s="6"/>
      <c r="Q121" s="6"/>
      <c r="R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P122" s="6"/>
      <c r="Q122" s="6"/>
      <c r="R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P123" s="6"/>
      <c r="Q123" s="6"/>
      <c r="R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P124" s="6"/>
      <c r="Q124" s="6"/>
      <c r="R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P125" s="6"/>
      <c r="Q125" s="6"/>
      <c r="R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P126" s="6"/>
      <c r="Q126" s="6"/>
      <c r="R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P127" s="6"/>
      <c r="Q127" s="6"/>
      <c r="R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P128" s="6"/>
      <c r="Q128" s="6"/>
      <c r="R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P129" s="6"/>
      <c r="Q129" s="6"/>
      <c r="R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P130" s="6"/>
      <c r="Q130" s="6"/>
      <c r="R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P131" s="6"/>
      <c r="Q131" s="6"/>
      <c r="R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P132" s="6"/>
      <c r="Q132" s="6"/>
      <c r="R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P133" s="6"/>
      <c r="Q133" s="6"/>
      <c r="R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P134" s="6"/>
      <c r="Q134" s="6"/>
      <c r="R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P135" s="6"/>
      <c r="Q135" s="6"/>
      <c r="R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P136" s="6"/>
      <c r="Q136" s="6"/>
      <c r="R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P137" s="6"/>
      <c r="Q137" s="6"/>
      <c r="R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P138" s="6"/>
      <c r="Q138" s="6"/>
      <c r="R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P139" s="6"/>
      <c r="Q139" s="6"/>
      <c r="R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P140" s="6"/>
      <c r="Q140" s="6"/>
      <c r="R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P141" s="6"/>
      <c r="Q141" s="6"/>
      <c r="R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P142" s="6"/>
      <c r="Q142" s="6"/>
      <c r="R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P143" s="6"/>
      <c r="Q143" s="6"/>
      <c r="R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P144" s="6"/>
      <c r="Q144" s="6"/>
      <c r="R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P145" s="6"/>
      <c r="Q145" s="6"/>
      <c r="R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P146" s="6"/>
      <c r="Q146" s="6"/>
      <c r="R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P147" s="6"/>
      <c r="Q147" s="6"/>
      <c r="R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P148" s="6"/>
      <c r="Q148" s="6"/>
      <c r="R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P149" s="6"/>
      <c r="Q149" s="6"/>
      <c r="R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P150" s="6"/>
      <c r="Q150" s="6"/>
      <c r="R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P151" s="6"/>
      <c r="Q151" s="6"/>
      <c r="R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P152" s="6"/>
      <c r="Q152" s="6"/>
      <c r="R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P153" s="6"/>
      <c r="Q153" s="6"/>
      <c r="R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P154" s="6"/>
      <c r="Q154" s="6"/>
      <c r="R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P155" s="6"/>
      <c r="Q155" s="6"/>
      <c r="R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P156" s="6"/>
      <c r="Q156" s="6"/>
      <c r="R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P157" s="6"/>
      <c r="Q157" s="6"/>
      <c r="R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P158" s="6"/>
      <c r="Q158" s="6"/>
      <c r="R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P159" s="6"/>
      <c r="Q159" s="6"/>
      <c r="R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P160" s="6"/>
      <c r="Q160" s="6"/>
      <c r="R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P161" s="6"/>
      <c r="Q161" s="6"/>
      <c r="R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P162" s="6"/>
      <c r="Q162" s="6"/>
      <c r="R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P163" s="6"/>
      <c r="Q163" s="6"/>
      <c r="R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P164" s="6"/>
      <c r="Q164" s="6"/>
      <c r="R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P165" s="6"/>
      <c r="Q165" s="6"/>
      <c r="R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P166" s="6"/>
      <c r="Q166" s="6"/>
      <c r="R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P167" s="6"/>
      <c r="Q167" s="6"/>
      <c r="R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P168" s="6"/>
      <c r="Q168" s="6"/>
      <c r="R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P169" s="6"/>
      <c r="Q169" s="6"/>
      <c r="R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P170" s="6"/>
      <c r="Q170" s="6"/>
      <c r="R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P171" s="6"/>
      <c r="Q171" s="6"/>
      <c r="R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P172" s="6"/>
      <c r="Q172" s="6"/>
      <c r="R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P173" s="6"/>
      <c r="Q173" s="6"/>
      <c r="R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P174" s="6"/>
      <c r="Q174" s="6"/>
      <c r="R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P175" s="6"/>
      <c r="Q175" s="6"/>
      <c r="R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P176" s="6"/>
      <c r="Q176" s="6"/>
      <c r="R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P177" s="6"/>
      <c r="Q177" s="6"/>
      <c r="R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P178" s="6"/>
      <c r="Q178" s="6"/>
      <c r="R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P179" s="6"/>
      <c r="Q179" s="6"/>
      <c r="R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P180" s="6"/>
      <c r="Q180" s="6"/>
      <c r="R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P181" s="6"/>
      <c r="Q181" s="6"/>
      <c r="R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P182" s="6"/>
      <c r="Q182" s="6"/>
      <c r="R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P183" s="6"/>
      <c r="Q183" s="6"/>
      <c r="R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P184" s="6"/>
      <c r="Q184" s="6"/>
      <c r="R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P185" s="6"/>
      <c r="Q185" s="6"/>
      <c r="R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P186" s="6"/>
      <c r="Q186" s="6"/>
      <c r="R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P187" s="6"/>
      <c r="Q187" s="6"/>
      <c r="R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P188" s="6"/>
      <c r="Q188" s="6"/>
      <c r="R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P189" s="6"/>
      <c r="Q189" s="6"/>
      <c r="R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P190" s="6"/>
      <c r="Q190" s="6"/>
      <c r="R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P191" s="6"/>
      <c r="Q191" s="6"/>
      <c r="R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P192" s="6"/>
      <c r="Q192" s="6"/>
      <c r="R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P193" s="6"/>
      <c r="Q193" s="6"/>
      <c r="R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P194" s="6"/>
      <c r="Q194" s="6"/>
      <c r="R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P195" s="6"/>
      <c r="Q195" s="6"/>
      <c r="R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P196" s="6"/>
      <c r="Q196" s="6"/>
      <c r="R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P197" s="6"/>
      <c r="Q197" s="6"/>
      <c r="R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P198" s="6"/>
      <c r="Q198" s="6"/>
      <c r="R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P199" s="6"/>
      <c r="Q199" s="6"/>
      <c r="R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P200" s="6"/>
      <c r="Q200" s="6"/>
      <c r="R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P201" s="6"/>
      <c r="Q201" s="6"/>
      <c r="R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P202" s="6"/>
      <c r="Q202" s="6"/>
      <c r="R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P203" s="6"/>
      <c r="Q203" s="6"/>
      <c r="R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P204" s="6"/>
      <c r="Q204" s="6"/>
      <c r="R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P205" s="6"/>
      <c r="Q205" s="6"/>
      <c r="R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P206" s="6"/>
      <c r="Q206" s="6"/>
      <c r="R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P207" s="6"/>
      <c r="Q207" s="6"/>
      <c r="R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P208" s="6"/>
      <c r="Q208" s="6"/>
      <c r="R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P209" s="6"/>
      <c r="Q209" s="6"/>
      <c r="R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P210" s="6"/>
      <c r="Q210" s="6"/>
      <c r="R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P211" s="6"/>
      <c r="Q211" s="6"/>
      <c r="R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P212" s="6"/>
      <c r="Q212" s="6"/>
      <c r="R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P213" s="6"/>
      <c r="Q213" s="6"/>
      <c r="R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P214" s="6"/>
      <c r="Q214" s="6"/>
      <c r="R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P215" s="6"/>
      <c r="Q215" s="6"/>
      <c r="R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P216" s="6"/>
      <c r="Q216" s="6"/>
      <c r="R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P217" s="6"/>
      <c r="Q217" s="6"/>
      <c r="R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P218" s="6"/>
      <c r="Q218" s="6"/>
      <c r="R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P219" s="6"/>
      <c r="Q219" s="6"/>
      <c r="R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P220" s="6"/>
      <c r="Q220" s="6"/>
      <c r="R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P221" s="6"/>
      <c r="Q221" s="6"/>
      <c r="R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P222" s="6"/>
      <c r="Q222" s="6"/>
      <c r="R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P223" s="6"/>
      <c r="Q223" s="6"/>
      <c r="R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P224" s="6"/>
      <c r="Q224" s="6"/>
      <c r="R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P225" s="6"/>
      <c r="Q225" s="6"/>
      <c r="R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P226" s="6"/>
      <c r="Q226" s="6"/>
      <c r="R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P227" s="6"/>
      <c r="Q227" s="6"/>
      <c r="R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P228" s="6"/>
      <c r="Q228" s="6"/>
      <c r="R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P229" s="6"/>
      <c r="Q229" s="6"/>
      <c r="R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P230" s="6"/>
      <c r="Q230" s="6"/>
      <c r="R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P231" s="6"/>
      <c r="Q231" s="6"/>
      <c r="R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P232" s="6"/>
      <c r="Q232" s="6"/>
      <c r="R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P233" s="6"/>
      <c r="Q233" s="6"/>
      <c r="R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P234" s="6"/>
      <c r="Q234" s="6"/>
      <c r="R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P235" s="6"/>
      <c r="Q235" s="6"/>
      <c r="R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P236" s="6"/>
      <c r="Q236" s="6"/>
      <c r="R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P237" s="6"/>
      <c r="Q237" s="6"/>
      <c r="R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P238" s="6"/>
      <c r="Q238" s="6"/>
      <c r="R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P239" s="6"/>
      <c r="Q239" s="6"/>
      <c r="R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P240" s="6"/>
      <c r="Q240" s="6"/>
      <c r="R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P241" s="6"/>
      <c r="Q241" s="6"/>
      <c r="R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P242" s="6"/>
      <c r="Q242" s="6"/>
      <c r="R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P243" s="6"/>
      <c r="Q243" s="6"/>
      <c r="R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P244" s="6"/>
      <c r="Q244" s="6"/>
      <c r="R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P245" s="6"/>
      <c r="Q245" s="6"/>
      <c r="R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P246" s="6"/>
      <c r="Q246" s="6"/>
      <c r="R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P247" s="6"/>
      <c r="Q247" s="6"/>
      <c r="R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P248" s="6"/>
      <c r="Q248" s="6"/>
      <c r="R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P249" s="6"/>
      <c r="Q249" s="6"/>
      <c r="R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P250" s="6"/>
      <c r="Q250" s="6"/>
      <c r="R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P251" s="6"/>
      <c r="Q251" s="6"/>
      <c r="R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P252" s="6"/>
      <c r="Q252" s="6"/>
      <c r="R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P253" s="6"/>
      <c r="Q253" s="6"/>
      <c r="R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P254" s="6"/>
      <c r="Q254" s="6"/>
      <c r="R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P255" s="6"/>
      <c r="Q255" s="6"/>
      <c r="R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P256" s="6"/>
      <c r="Q256" s="6"/>
      <c r="R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P257" s="6"/>
      <c r="Q257" s="6"/>
      <c r="R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P258" s="6"/>
      <c r="Q258" s="6"/>
      <c r="R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P259" s="6"/>
      <c r="Q259" s="6"/>
      <c r="R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P260" s="6"/>
      <c r="Q260" s="6"/>
      <c r="R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P261" s="6"/>
      <c r="Q261" s="6"/>
      <c r="R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P262" s="6"/>
      <c r="Q262" s="6"/>
      <c r="R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P263" s="6"/>
      <c r="Q263" s="6"/>
      <c r="R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P264" s="6"/>
      <c r="Q264" s="6"/>
      <c r="R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P265" s="6"/>
      <c r="Q265" s="6"/>
      <c r="R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P266" s="6"/>
      <c r="Q266" s="6"/>
      <c r="R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P267" s="6"/>
      <c r="Q267" s="6"/>
      <c r="R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P268" s="6"/>
      <c r="Q268" s="6"/>
      <c r="R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P269" s="6"/>
      <c r="Q269" s="6"/>
      <c r="R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P270" s="6"/>
      <c r="Q270" s="6"/>
      <c r="R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P271" s="6"/>
      <c r="Q271" s="6"/>
      <c r="R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P272" s="6"/>
      <c r="Q272" s="6"/>
      <c r="R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P273" s="6"/>
      <c r="Q273" s="6"/>
      <c r="R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P274" s="6"/>
      <c r="Q274" s="6"/>
      <c r="R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P275" s="6"/>
      <c r="Q275" s="6"/>
      <c r="R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P276" s="6"/>
      <c r="Q276" s="6"/>
      <c r="R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P277" s="6"/>
      <c r="Q277" s="6"/>
      <c r="R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P278" s="6"/>
      <c r="Q278" s="6"/>
      <c r="R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P279" s="6"/>
      <c r="Q279" s="6"/>
      <c r="R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P280" s="6"/>
      <c r="Q280" s="6"/>
      <c r="R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P281" s="6"/>
      <c r="Q281" s="6"/>
      <c r="R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P282" s="6"/>
      <c r="Q282" s="6"/>
      <c r="R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P283" s="6"/>
      <c r="Q283" s="6"/>
      <c r="R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P284" s="6"/>
      <c r="Q284" s="6"/>
      <c r="R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P285" s="6"/>
      <c r="Q285" s="6"/>
      <c r="R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P286" s="6"/>
      <c r="Q286" s="6"/>
      <c r="R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P287" s="6"/>
      <c r="Q287" s="6"/>
      <c r="R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P288" s="6"/>
      <c r="Q288" s="6"/>
      <c r="R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P289" s="6"/>
      <c r="Q289" s="6"/>
      <c r="R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P290" s="6"/>
      <c r="Q290" s="6"/>
      <c r="R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P291" s="6"/>
      <c r="Q291" s="6"/>
      <c r="R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P292" s="6"/>
      <c r="Q292" s="6"/>
      <c r="R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P293" s="6"/>
      <c r="Q293" s="6"/>
      <c r="R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P294" s="6"/>
      <c r="Q294" s="6"/>
      <c r="R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P295" s="6"/>
      <c r="Q295" s="6"/>
      <c r="R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P296" s="6"/>
      <c r="Q296" s="6"/>
      <c r="R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P297" s="6"/>
      <c r="Q297" s="6"/>
      <c r="R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P298" s="6"/>
      <c r="Q298" s="6"/>
      <c r="R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P299" s="6"/>
      <c r="Q299" s="6"/>
      <c r="R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P300" s="6"/>
      <c r="Q300" s="6"/>
      <c r="R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P301" s="6"/>
      <c r="Q301" s="6"/>
      <c r="R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P302" s="6"/>
      <c r="Q302" s="6"/>
      <c r="R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P303" s="6"/>
      <c r="Q303" s="6"/>
      <c r="R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P304" s="6"/>
      <c r="Q304" s="6"/>
      <c r="R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P305" s="6"/>
      <c r="Q305" s="6"/>
      <c r="R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P306" s="6"/>
      <c r="Q306" s="6"/>
      <c r="R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P307" s="6"/>
      <c r="Q307" s="6"/>
      <c r="R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P308" s="6"/>
      <c r="Q308" s="6"/>
      <c r="R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P309" s="6"/>
      <c r="Q309" s="6"/>
      <c r="R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P310" s="6"/>
      <c r="Q310" s="6"/>
      <c r="R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P311" s="6"/>
      <c r="Q311" s="6"/>
      <c r="R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P312" s="6"/>
      <c r="Q312" s="6"/>
      <c r="R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P313" s="6"/>
      <c r="Q313" s="6"/>
      <c r="R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P314" s="6"/>
      <c r="Q314" s="6"/>
      <c r="R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P315" s="6"/>
      <c r="Q315" s="6"/>
      <c r="R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P316" s="6"/>
      <c r="Q316" s="6"/>
      <c r="R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P317" s="6"/>
      <c r="Q317" s="6"/>
      <c r="R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P318" s="6"/>
      <c r="Q318" s="6"/>
      <c r="R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P319" s="6"/>
      <c r="Q319" s="6"/>
      <c r="R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P320" s="6"/>
      <c r="Q320" s="6"/>
      <c r="R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P321" s="6"/>
      <c r="Q321" s="6"/>
      <c r="R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P322" s="6"/>
      <c r="Q322" s="6"/>
      <c r="R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P323" s="6"/>
      <c r="Q323" s="6"/>
      <c r="R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P324" s="6"/>
      <c r="Q324" s="6"/>
      <c r="R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P325" s="6"/>
      <c r="Q325" s="6"/>
      <c r="R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P326" s="6"/>
      <c r="Q326" s="6"/>
      <c r="R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P327" s="6"/>
      <c r="Q327" s="6"/>
      <c r="R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P328" s="6"/>
      <c r="Q328" s="6"/>
      <c r="R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P329" s="6"/>
      <c r="Q329" s="6"/>
      <c r="R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P330" s="6"/>
      <c r="Q330" s="6"/>
      <c r="R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P331" s="6"/>
      <c r="Q331" s="6"/>
      <c r="R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P332" s="6"/>
      <c r="Q332" s="6"/>
      <c r="R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P333" s="6"/>
      <c r="Q333" s="6"/>
      <c r="R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P334" s="6"/>
      <c r="Q334" s="6"/>
      <c r="R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P335" s="6"/>
      <c r="Q335" s="6"/>
      <c r="R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P336" s="6"/>
      <c r="Q336" s="6"/>
      <c r="R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P337" s="6"/>
      <c r="Q337" s="6"/>
      <c r="R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P338" s="6"/>
      <c r="Q338" s="6"/>
      <c r="R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P339" s="6"/>
      <c r="Q339" s="6"/>
      <c r="R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P340" s="6"/>
      <c r="Q340" s="6"/>
      <c r="R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P341" s="6"/>
      <c r="Q341" s="6"/>
      <c r="R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P342" s="6"/>
      <c r="Q342" s="6"/>
      <c r="R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P343" s="6"/>
      <c r="Q343" s="6"/>
      <c r="R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P344" s="6"/>
      <c r="Q344" s="6"/>
      <c r="R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P345" s="6"/>
      <c r="Q345" s="6"/>
      <c r="R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P346" s="6"/>
      <c r="Q346" s="6"/>
      <c r="R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P347" s="6"/>
      <c r="Q347" s="6"/>
      <c r="R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P348" s="6"/>
      <c r="Q348" s="6"/>
      <c r="R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P349" s="6"/>
      <c r="Q349" s="6"/>
      <c r="R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P350" s="6"/>
      <c r="Q350" s="6"/>
      <c r="R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P351" s="6"/>
      <c r="Q351" s="6"/>
      <c r="R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P352" s="6"/>
      <c r="Q352" s="6"/>
      <c r="R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P353" s="6"/>
      <c r="Q353" s="6"/>
      <c r="R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P354" s="6"/>
      <c r="Q354" s="6"/>
      <c r="R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P355" s="6"/>
      <c r="Q355" s="6"/>
      <c r="R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P356" s="6"/>
      <c r="Q356" s="6"/>
      <c r="R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P357" s="6"/>
      <c r="Q357" s="6"/>
      <c r="R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P358" s="6"/>
      <c r="Q358" s="6"/>
      <c r="R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P359" s="6"/>
      <c r="Q359" s="6"/>
      <c r="R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P360" s="6"/>
      <c r="Q360" s="6"/>
      <c r="R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P361" s="6"/>
      <c r="Q361" s="6"/>
      <c r="R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P362" s="6"/>
      <c r="Q362" s="6"/>
      <c r="R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P363" s="6"/>
      <c r="Q363" s="6"/>
      <c r="R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P364" s="6"/>
      <c r="Q364" s="6"/>
      <c r="R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P365" s="6"/>
      <c r="Q365" s="6"/>
      <c r="R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P366" s="6"/>
      <c r="Q366" s="6"/>
      <c r="R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P367" s="6"/>
      <c r="Q367" s="6"/>
      <c r="R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P368" s="6"/>
      <c r="Q368" s="6"/>
      <c r="R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P369" s="6"/>
      <c r="Q369" s="6"/>
      <c r="R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P370" s="6"/>
      <c r="Q370" s="6"/>
      <c r="R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P371" s="6"/>
      <c r="Q371" s="6"/>
      <c r="R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P372" s="6"/>
      <c r="Q372" s="6"/>
      <c r="R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P373" s="6"/>
      <c r="Q373" s="6"/>
      <c r="R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P374" s="6"/>
      <c r="Q374" s="6"/>
      <c r="R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P375" s="6"/>
      <c r="Q375" s="6"/>
      <c r="R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P376" s="6"/>
      <c r="Q376" s="6"/>
      <c r="R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P377" s="6"/>
      <c r="Q377" s="6"/>
      <c r="R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P378" s="6"/>
      <c r="Q378" s="6"/>
      <c r="R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P379" s="6"/>
      <c r="Q379" s="6"/>
      <c r="R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P380" s="6"/>
      <c r="Q380" s="6"/>
      <c r="R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P381" s="6"/>
      <c r="Q381" s="6"/>
      <c r="R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P382" s="6"/>
      <c r="Q382" s="6"/>
      <c r="R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P383" s="6"/>
      <c r="Q383" s="6"/>
      <c r="R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P384" s="6"/>
      <c r="Q384" s="6"/>
      <c r="R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P385" s="6"/>
      <c r="Q385" s="6"/>
      <c r="R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P386" s="6"/>
      <c r="Q386" s="6"/>
      <c r="R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P387" s="6"/>
      <c r="Q387" s="6"/>
      <c r="R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P388" s="6"/>
      <c r="Q388" s="6"/>
      <c r="R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P389" s="6"/>
      <c r="Q389" s="6"/>
      <c r="R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P390" s="6"/>
      <c r="Q390" s="6"/>
      <c r="R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P391" s="6"/>
      <c r="Q391" s="6"/>
      <c r="R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P392" s="6"/>
      <c r="Q392" s="6"/>
      <c r="R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P393" s="6"/>
      <c r="Q393" s="6"/>
      <c r="R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P394" s="6"/>
      <c r="Q394" s="6"/>
      <c r="R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P395" s="6"/>
      <c r="Q395" s="6"/>
      <c r="R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P396" s="6"/>
      <c r="Q396" s="6"/>
      <c r="R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P397" s="6"/>
      <c r="Q397" s="6"/>
      <c r="R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P398" s="6"/>
      <c r="Q398" s="6"/>
      <c r="R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P399" s="6"/>
      <c r="Q399" s="6"/>
      <c r="R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P400" s="6"/>
      <c r="Q400" s="6"/>
      <c r="R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P401" s="6"/>
      <c r="Q401" s="6"/>
      <c r="R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P402" s="6"/>
      <c r="Q402" s="6"/>
      <c r="R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P403" s="6"/>
      <c r="Q403" s="6"/>
      <c r="R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P404" s="6"/>
      <c r="Q404" s="6"/>
      <c r="R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P405" s="6"/>
      <c r="Q405" s="6"/>
      <c r="R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P406" s="6"/>
      <c r="Q406" s="6"/>
      <c r="R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P407" s="6"/>
      <c r="Q407" s="6"/>
      <c r="R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P408" s="6"/>
      <c r="Q408" s="6"/>
      <c r="R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P409" s="6"/>
      <c r="Q409" s="6"/>
      <c r="R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P410" s="6"/>
      <c r="Q410" s="6"/>
      <c r="R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P411" s="6"/>
      <c r="Q411" s="6"/>
      <c r="R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P412" s="6"/>
      <c r="Q412" s="6"/>
      <c r="R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P413" s="6"/>
      <c r="Q413" s="6"/>
      <c r="R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P414" s="6"/>
      <c r="Q414" s="6"/>
      <c r="R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P415" s="6"/>
      <c r="Q415" s="6"/>
      <c r="R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P416" s="6"/>
      <c r="Q416" s="6"/>
      <c r="R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P417" s="6"/>
      <c r="Q417" s="6"/>
      <c r="R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P418" s="6"/>
      <c r="Q418" s="6"/>
      <c r="R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P419" s="6"/>
      <c r="Q419" s="6"/>
      <c r="R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P420" s="6"/>
      <c r="Q420" s="6"/>
      <c r="R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P421" s="6"/>
      <c r="Q421" s="6"/>
      <c r="R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P422" s="6"/>
      <c r="Q422" s="6"/>
      <c r="R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P423" s="6"/>
      <c r="Q423" s="6"/>
      <c r="R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P424" s="6"/>
      <c r="Q424" s="6"/>
      <c r="R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P425" s="6"/>
      <c r="Q425" s="6"/>
      <c r="R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P426" s="6"/>
      <c r="Q426" s="6"/>
      <c r="R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P427" s="6"/>
      <c r="Q427" s="6"/>
      <c r="R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P428" s="6"/>
      <c r="Q428" s="6"/>
      <c r="R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P429" s="6"/>
      <c r="Q429" s="6"/>
      <c r="R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P430" s="6"/>
      <c r="Q430" s="6"/>
      <c r="R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P431" s="6"/>
      <c r="Q431" s="6"/>
      <c r="R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P432" s="6"/>
      <c r="Q432" s="6"/>
      <c r="R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P433" s="6"/>
      <c r="Q433" s="6"/>
      <c r="R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P434" s="6"/>
      <c r="Q434" s="6"/>
      <c r="R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P435" s="6"/>
      <c r="Q435" s="6"/>
      <c r="R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P436" s="6"/>
      <c r="Q436" s="6"/>
      <c r="R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P437" s="6"/>
      <c r="Q437" s="6"/>
      <c r="R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P438" s="6"/>
      <c r="Q438" s="6"/>
      <c r="R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P439" s="6"/>
      <c r="Q439" s="6"/>
      <c r="R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P440" s="6"/>
      <c r="Q440" s="6"/>
      <c r="R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P441" s="6"/>
      <c r="Q441" s="6"/>
      <c r="R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P442" s="6"/>
      <c r="Q442" s="6"/>
      <c r="R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P443" s="6"/>
      <c r="Q443" s="6"/>
      <c r="R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P444" s="6"/>
      <c r="Q444" s="6"/>
      <c r="R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P445" s="6"/>
      <c r="Q445" s="6"/>
      <c r="R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P446" s="6"/>
      <c r="Q446" s="6"/>
      <c r="R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P447" s="6"/>
      <c r="Q447" s="6"/>
      <c r="R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P448" s="6"/>
      <c r="Q448" s="6"/>
      <c r="R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P449" s="6"/>
      <c r="Q449" s="6"/>
      <c r="R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P450" s="6"/>
      <c r="Q450" s="6"/>
      <c r="R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P451" s="6"/>
      <c r="Q451" s="6"/>
      <c r="R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P452" s="6"/>
      <c r="Q452" s="6"/>
      <c r="R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P453" s="6"/>
      <c r="Q453" s="6"/>
      <c r="R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P454" s="6"/>
      <c r="Q454" s="6"/>
      <c r="R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P455" s="6"/>
      <c r="Q455" s="6"/>
      <c r="R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P456" s="6"/>
      <c r="Q456" s="6"/>
      <c r="R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P457" s="6"/>
      <c r="Q457" s="6"/>
      <c r="R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P458" s="6"/>
      <c r="Q458" s="6"/>
      <c r="R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P459" s="6"/>
      <c r="Q459" s="6"/>
      <c r="R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P460" s="6"/>
      <c r="Q460" s="6"/>
      <c r="R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P461" s="6"/>
      <c r="Q461" s="6"/>
      <c r="R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P462" s="6"/>
      <c r="Q462" s="6"/>
      <c r="R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P463" s="6"/>
      <c r="Q463" s="6"/>
      <c r="R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P464" s="6"/>
      <c r="Q464" s="6"/>
      <c r="R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P465" s="6"/>
      <c r="Q465" s="6"/>
      <c r="R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P466" s="6"/>
      <c r="Q466" s="6"/>
      <c r="R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P467" s="6"/>
      <c r="Q467" s="6"/>
      <c r="R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P468" s="6"/>
      <c r="Q468" s="6"/>
      <c r="R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P469" s="6"/>
      <c r="Q469" s="6"/>
      <c r="R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P470" s="6"/>
      <c r="Q470" s="6"/>
      <c r="R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P471" s="6"/>
      <c r="Q471" s="6"/>
      <c r="R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P472" s="6"/>
      <c r="Q472" s="6"/>
      <c r="R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P473" s="6"/>
      <c r="Q473" s="6"/>
      <c r="R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P474" s="6"/>
      <c r="Q474" s="6"/>
      <c r="R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P475" s="6"/>
      <c r="Q475" s="6"/>
      <c r="R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P476" s="6"/>
      <c r="Q476" s="6"/>
      <c r="R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P477" s="6"/>
      <c r="Q477" s="6"/>
      <c r="R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P478" s="6"/>
      <c r="Q478" s="6"/>
      <c r="R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P479" s="6"/>
      <c r="Q479" s="6"/>
      <c r="R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P480" s="6"/>
      <c r="Q480" s="6"/>
      <c r="R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P481" s="6"/>
      <c r="Q481" s="6"/>
      <c r="R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P482" s="6"/>
      <c r="Q482" s="6"/>
      <c r="R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P483" s="6"/>
      <c r="Q483" s="6"/>
      <c r="R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P484" s="6"/>
      <c r="Q484" s="6"/>
      <c r="R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P485" s="6"/>
      <c r="Q485" s="6"/>
      <c r="R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P486" s="6"/>
      <c r="Q486" s="6"/>
      <c r="R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P487" s="6"/>
      <c r="Q487" s="6"/>
      <c r="R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P488" s="6"/>
      <c r="Q488" s="6"/>
      <c r="R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P489" s="6"/>
      <c r="Q489" s="6"/>
      <c r="R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P490" s="6"/>
      <c r="Q490" s="6"/>
      <c r="R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P491" s="6"/>
      <c r="Q491" s="6"/>
      <c r="R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P492" s="6"/>
      <c r="Q492" s="6"/>
      <c r="R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P493" s="6"/>
      <c r="Q493" s="6"/>
      <c r="R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P494" s="6"/>
      <c r="Q494" s="6"/>
      <c r="R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P495" s="6"/>
      <c r="Q495" s="6"/>
      <c r="R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P496" s="6"/>
      <c r="Q496" s="6"/>
      <c r="R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P497" s="6"/>
      <c r="Q497" s="6"/>
      <c r="R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P498" s="6"/>
      <c r="Q498" s="6"/>
      <c r="R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P499" s="6"/>
      <c r="Q499" s="6"/>
      <c r="R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P500" s="6"/>
      <c r="Q500" s="6"/>
      <c r="R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P501" s="6"/>
      <c r="Q501" s="6"/>
      <c r="R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P502" s="6"/>
      <c r="Q502" s="6"/>
      <c r="R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P503" s="6"/>
      <c r="Q503" s="6"/>
      <c r="R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P504" s="6"/>
      <c r="Q504" s="6"/>
      <c r="R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P505" s="6"/>
      <c r="Q505" s="6"/>
      <c r="R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P506" s="6"/>
      <c r="Q506" s="6"/>
      <c r="R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P507" s="6"/>
      <c r="Q507" s="6"/>
      <c r="R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P508" s="6"/>
      <c r="Q508" s="6"/>
      <c r="R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P509" s="6"/>
      <c r="Q509" s="6"/>
      <c r="R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P510" s="6"/>
      <c r="Q510" s="6"/>
      <c r="R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P511" s="6"/>
      <c r="Q511" s="6"/>
      <c r="R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P512" s="6"/>
      <c r="Q512" s="6"/>
      <c r="R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P513" s="6"/>
      <c r="Q513" s="6"/>
      <c r="R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P514" s="6"/>
      <c r="Q514" s="6"/>
      <c r="R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P515" s="6"/>
      <c r="Q515" s="6"/>
      <c r="R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P516" s="6"/>
      <c r="Q516" s="6"/>
      <c r="R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P517" s="6"/>
      <c r="Q517" s="6"/>
      <c r="R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P518" s="6"/>
      <c r="Q518" s="6"/>
      <c r="R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P519" s="6"/>
      <c r="Q519" s="6"/>
      <c r="R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P520" s="6"/>
      <c r="Q520" s="6"/>
      <c r="R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P521" s="6"/>
      <c r="Q521" s="6"/>
      <c r="R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P522" s="6"/>
      <c r="Q522" s="6"/>
      <c r="R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P523" s="6"/>
      <c r="Q523" s="6"/>
      <c r="R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P524" s="6"/>
      <c r="Q524" s="6"/>
      <c r="R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P525" s="6"/>
      <c r="Q525" s="6"/>
      <c r="R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P526" s="6"/>
      <c r="Q526" s="6"/>
      <c r="R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P527" s="6"/>
      <c r="Q527" s="6"/>
      <c r="R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P528" s="6"/>
      <c r="Q528" s="6"/>
      <c r="R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P529" s="6"/>
      <c r="Q529" s="6"/>
      <c r="R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P530" s="6"/>
      <c r="Q530" s="6"/>
      <c r="R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P531" s="6"/>
      <c r="Q531" s="6"/>
      <c r="R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P532" s="6"/>
      <c r="Q532" s="6"/>
      <c r="R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P533" s="6"/>
      <c r="Q533" s="6"/>
      <c r="R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P534" s="6"/>
      <c r="Q534" s="6"/>
      <c r="R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P535" s="6"/>
      <c r="Q535" s="6"/>
      <c r="R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P536" s="6"/>
      <c r="Q536" s="6"/>
      <c r="R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P537" s="6"/>
      <c r="Q537" s="6"/>
      <c r="R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P538" s="6"/>
      <c r="Q538" s="6"/>
      <c r="R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P539" s="6"/>
      <c r="Q539" s="6"/>
      <c r="R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P540" s="6"/>
      <c r="Q540" s="6"/>
      <c r="R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P541" s="6"/>
      <c r="Q541" s="6"/>
      <c r="R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P542" s="6"/>
      <c r="Q542" s="6"/>
      <c r="R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P543" s="6"/>
      <c r="Q543" s="6"/>
      <c r="R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P544" s="6"/>
      <c r="Q544" s="6"/>
      <c r="R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P545" s="6"/>
      <c r="Q545" s="6"/>
      <c r="R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P546" s="6"/>
      <c r="Q546" s="6"/>
      <c r="R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P547" s="6"/>
      <c r="Q547" s="6"/>
      <c r="R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P548" s="6"/>
      <c r="Q548" s="6"/>
      <c r="R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P549" s="6"/>
      <c r="Q549" s="6"/>
      <c r="R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P550" s="6"/>
      <c r="Q550" s="6"/>
      <c r="R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P551" s="6"/>
      <c r="Q551" s="6"/>
      <c r="R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P552" s="6"/>
      <c r="Q552" s="6"/>
      <c r="R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P553" s="6"/>
      <c r="Q553" s="6"/>
      <c r="R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P554" s="6"/>
      <c r="Q554" s="6"/>
      <c r="R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P555" s="6"/>
      <c r="Q555" s="6"/>
      <c r="R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P556" s="6"/>
      <c r="Q556" s="6"/>
      <c r="R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P557" s="6"/>
      <c r="Q557" s="6"/>
      <c r="R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P558" s="6"/>
      <c r="Q558" s="6"/>
      <c r="R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P559" s="6"/>
      <c r="Q559" s="6"/>
      <c r="R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P560" s="6"/>
      <c r="Q560" s="6"/>
      <c r="R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P561" s="6"/>
      <c r="Q561" s="6"/>
      <c r="R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P562" s="6"/>
      <c r="Q562" s="6"/>
      <c r="R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P563" s="6"/>
      <c r="Q563" s="6"/>
      <c r="R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P564" s="6"/>
      <c r="Q564" s="6"/>
      <c r="R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P565" s="6"/>
      <c r="Q565" s="6"/>
      <c r="R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P566" s="6"/>
      <c r="Q566" s="6"/>
      <c r="R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P567" s="6"/>
      <c r="Q567" s="6"/>
      <c r="R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P568" s="6"/>
      <c r="Q568" s="6"/>
      <c r="R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P569" s="6"/>
      <c r="Q569" s="6"/>
      <c r="R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P570" s="6"/>
      <c r="Q570" s="6"/>
      <c r="R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P571" s="6"/>
      <c r="Q571" s="6"/>
      <c r="R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P572" s="6"/>
      <c r="Q572" s="6"/>
      <c r="R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P573" s="6"/>
      <c r="Q573" s="6"/>
      <c r="R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P574" s="6"/>
      <c r="Q574" s="6"/>
      <c r="R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P575" s="6"/>
      <c r="Q575" s="6"/>
      <c r="R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P576" s="6"/>
      <c r="Q576" s="6"/>
      <c r="R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P577" s="6"/>
      <c r="Q577" s="6"/>
      <c r="R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P578" s="6"/>
      <c r="Q578" s="6"/>
      <c r="R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P579" s="6"/>
      <c r="Q579" s="6"/>
      <c r="R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P580" s="6"/>
      <c r="Q580" s="6"/>
      <c r="R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P581" s="6"/>
      <c r="Q581" s="6"/>
      <c r="R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P582" s="6"/>
      <c r="Q582" s="6"/>
      <c r="R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P583" s="6"/>
      <c r="Q583" s="6"/>
      <c r="R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P584" s="6"/>
      <c r="Q584" s="6"/>
      <c r="R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P585" s="6"/>
      <c r="Q585" s="6"/>
      <c r="R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P586" s="6"/>
      <c r="Q586" s="6"/>
      <c r="R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P587" s="6"/>
      <c r="Q587" s="6"/>
      <c r="R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P588" s="6"/>
      <c r="Q588" s="6"/>
      <c r="R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P589" s="6"/>
      <c r="Q589" s="6"/>
      <c r="R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P590" s="6"/>
      <c r="Q590" s="6"/>
      <c r="R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P591" s="6"/>
      <c r="Q591" s="6"/>
      <c r="R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P592" s="6"/>
      <c r="Q592" s="6"/>
      <c r="R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P593" s="6"/>
      <c r="Q593" s="6"/>
      <c r="R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P594" s="6"/>
      <c r="Q594" s="6"/>
      <c r="R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P595" s="6"/>
      <c r="Q595" s="6"/>
      <c r="R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P596" s="6"/>
      <c r="Q596" s="6"/>
      <c r="R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P597" s="6"/>
      <c r="Q597" s="6"/>
      <c r="R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P598" s="6"/>
      <c r="Q598" s="6"/>
      <c r="R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P599" s="6"/>
      <c r="Q599" s="6"/>
      <c r="R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P600" s="6"/>
      <c r="Q600" s="6"/>
      <c r="R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P601" s="6"/>
      <c r="Q601" s="6"/>
      <c r="R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P602" s="6"/>
      <c r="Q602" s="6"/>
      <c r="R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P603" s="6"/>
      <c r="Q603" s="6"/>
      <c r="R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P604" s="6"/>
      <c r="Q604" s="6"/>
      <c r="R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P605" s="6"/>
      <c r="Q605" s="6"/>
      <c r="R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P606" s="6"/>
      <c r="Q606" s="6"/>
      <c r="R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P607" s="6"/>
      <c r="Q607" s="6"/>
      <c r="R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P608" s="6"/>
      <c r="Q608" s="6"/>
      <c r="R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P609" s="6"/>
      <c r="Q609" s="6"/>
      <c r="R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P610" s="6"/>
      <c r="Q610" s="6"/>
      <c r="R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P611" s="6"/>
      <c r="Q611" s="6"/>
      <c r="R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P612" s="6"/>
      <c r="Q612" s="6"/>
      <c r="R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P613" s="6"/>
      <c r="Q613" s="6"/>
      <c r="R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P614" s="6"/>
      <c r="Q614" s="6"/>
      <c r="R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P615" s="6"/>
      <c r="Q615" s="6"/>
      <c r="R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P616" s="6"/>
      <c r="Q616" s="6"/>
      <c r="R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P617" s="6"/>
      <c r="Q617" s="6"/>
      <c r="R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P618" s="6"/>
      <c r="Q618" s="6"/>
      <c r="R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P619" s="6"/>
      <c r="Q619" s="6"/>
      <c r="R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P620" s="6"/>
      <c r="Q620" s="6"/>
      <c r="R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P621" s="6"/>
      <c r="Q621" s="6"/>
      <c r="R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P622" s="6"/>
      <c r="Q622" s="6"/>
      <c r="R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P623" s="6"/>
      <c r="Q623" s="6"/>
      <c r="R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P624" s="6"/>
      <c r="Q624" s="6"/>
      <c r="R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P625" s="6"/>
      <c r="Q625" s="6"/>
      <c r="R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P626" s="6"/>
      <c r="Q626" s="6"/>
      <c r="R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P627" s="6"/>
      <c r="Q627" s="6"/>
      <c r="R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P628" s="6"/>
      <c r="Q628" s="6"/>
      <c r="R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P629" s="6"/>
      <c r="Q629" s="6"/>
      <c r="R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P630" s="6"/>
      <c r="Q630" s="6"/>
      <c r="R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P631" s="6"/>
      <c r="Q631" s="6"/>
      <c r="R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P632" s="6"/>
      <c r="Q632" s="6"/>
      <c r="R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P633" s="6"/>
      <c r="Q633" s="6"/>
      <c r="R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P634" s="6"/>
      <c r="Q634" s="6"/>
      <c r="R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P635" s="6"/>
      <c r="Q635" s="6"/>
      <c r="R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P636" s="6"/>
      <c r="Q636" s="6"/>
      <c r="R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P637" s="6"/>
      <c r="Q637" s="6"/>
      <c r="R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P638" s="6"/>
      <c r="Q638" s="6"/>
      <c r="R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P639" s="6"/>
      <c r="Q639" s="6"/>
      <c r="R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P640" s="6"/>
      <c r="Q640" s="6"/>
      <c r="R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P641" s="6"/>
      <c r="Q641" s="6"/>
      <c r="R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P642" s="6"/>
      <c r="Q642" s="6"/>
      <c r="R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P643" s="6"/>
      <c r="Q643" s="6"/>
      <c r="R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P644" s="6"/>
      <c r="Q644" s="6"/>
      <c r="R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P645" s="6"/>
      <c r="Q645" s="6"/>
      <c r="R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P646" s="6"/>
      <c r="Q646" s="6"/>
      <c r="R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P647" s="6"/>
      <c r="Q647" s="6"/>
      <c r="R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P648" s="6"/>
      <c r="Q648" s="6"/>
      <c r="R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P649" s="6"/>
      <c r="Q649" s="6"/>
      <c r="R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P650" s="6"/>
      <c r="Q650" s="6"/>
      <c r="R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P651" s="6"/>
      <c r="Q651" s="6"/>
      <c r="R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P652" s="6"/>
      <c r="Q652" s="6"/>
      <c r="R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P653" s="6"/>
      <c r="Q653" s="6"/>
      <c r="R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P654" s="6"/>
      <c r="Q654" s="6"/>
      <c r="R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P655" s="6"/>
      <c r="Q655" s="6"/>
      <c r="R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P656" s="6"/>
      <c r="Q656" s="6"/>
      <c r="R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P657" s="6"/>
      <c r="Q657" s="6"/>
      <c r="R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P658" s="6"/>
      <c r="Q658" s="6"/>
      <c r="R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P659" s="6"/>
      <c r="Q659" s="6"/>
      <c r="R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P660" s="6"/>
      <c r="Q660" s="6"/>
      <c r="R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P661" s="6"/>
      <c r="Q661" s="6"/>
      <c r="R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P662" s="6"/>
      <c r="Q662" s="6"/>
      <c r="R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P663" s="6"/>
      <c r="Q663" s="6"/>
      <c r="R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P664" s="6"/>
      <c r="Q664" s="6"/>
      <c r="R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P665" s="6"/>
      <c r="Q665" s="6"/>
      <c r="R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P666" s="6"/>
      <c r="Q666" s="6"/>
      <c r="R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P667" s="6"/>
      <c r="Q667" s="6"/>
      <c r="R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P668" s="6"/>
      <c r="Q668" s="6"/>
      <c r="R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P669" s="6"/>
      <c r="Q669" s="6"/>
      <c r="R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P670" s="6"/>
      <c r="Q670" s="6"/>
      <c r="R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P671" s="6"/>
      <c r="Q671" s="6"/>
      <c r="R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P672" s="6"/>
      <c r="Q672" s="6"/>
      <c r="R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P673" s="6"/>
      <c r="Q673" s="6"/>
      <c r="R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P674" s="6"/>
      <c r="Q674" s="6"/>
      <c r="R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P675" s="6"/>
      <c r="Q675" s="6"/>
      <c r="R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P676" s="6"/>
      <c r="Q676" s="6"/>
      <c r="R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P677" s="6"/>
      <c r="Q677" s="6"/>
      <c r="R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P678" s="6"/>
      <c r="Q678" s="6"/>
      <c r="R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P679" s="6"/>
      <c r="Q679" s="6"/>
      <c r="R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P680" s="6"/>
      <c r="Q680" s="6"/>
      <c r="R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P681" s="6"/>
      <c r="Q681" s="6"/>
      <c r="R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P682" s="6"/>
      <c r="Q682" s="6"/>
      <c r="R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P683" s="6"/>
      <c r="Q683" s="6"/>
      <c r="R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P684" s="6"/>
      <c r="Q684" s="6"/>
      <c r="R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P685" s="6"/>
      <c r="Q685" s="6"/>
      <c r="R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P686" s="6"/>
      <c r="Q686" s="6"/>
      <c r="R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P687" s="6"/>
      <c r="Q687" s="6"/>
      <c r="R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P688" s="6"/>
      <c r="Q688" s="6"/>
      <c r="R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P689" s="6"/>
      <c r="Q689" s="6"/>
      <c r="R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P690" s="6"/>
      <c r="Q690" s="6"/>
      <c r="R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P691" s="6"/>
      <c r="Q691" s="6"/>
      <c r="R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P692" s="6"/>
      <c r="Q692" s="6"/>
      <c r="R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P693" s="6"/>
      <c r="Q693" s="6"/>
      <c r="R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P694" s="6"/>
      <c r="Q694" s="6"/>
      <c r="R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P695" s="6"/>
      <c r="Q695" s="6"/>
      <c r="R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P696" s="6"/>
      <c r="Q696" s="6"/>
      <c r="R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P697" s="6"/>
      <c r="Q697" s="6"/>
      <c r="R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P698" s="6"/>
      <c r="Q698" s="6"/>
      <c r="R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P699" s="6"/>
      <c r="Q699" s="6"/>
      <c r="R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P700" s="6"/>
      <c r="Q700" s="6"/>
      <c r="R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P701" s="6"/>
      <c r="Q701" s="6"/>
      <c r="R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P702" s="6"/>
      <c r="Q702" s="6"/>
      <c r="R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P703" s="6"/>
      <c r="Q703" s="6"/>
      <c r="R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P704" s="6"/>
      <c r="Q704" s="6"/>
      <c r="R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P705" s="6"/>
      <c r="Q705" s="6"/>
      <c r="R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P706" s="6"/>
      <c r="Q706" s="6"/>
      <c r="R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P707" s="6"/>
      <c r="Q707" s="6"/>
      <c r="R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P708" s="6"/>
      <c r="Q708" s="6"/>
      <c r="R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P709" s="6"/>
      <c r="Q709" s="6"/>
      <c r="R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P710" s="6"/>
      <c r="Q710" s="6"/>
      <c r="R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P711" s="6"/>
      <c r="Q711" s="6"/>
      <c r="R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P712" s="6"/>
      <c r="Q712" s="6"/>
      <c r="R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P713" s="6"/>
      <c r="Q713" s="6"/>
      <c r="R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P714" s="6"/>
      <c r="Q714" s="6"/>
      <c r="R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P715" s="6"/>
      <c r="Q715" s="6"/>
      <c r="R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P716" s="6"/>
      <c r="Q716" s="6"/>
      <c r="R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P717" s="6"/>
      <c r="Q717" s="6"/>
      <c r="R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P718" s="6"/>
      <c r="Q718" s="6"/>
      <c r="R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P719" s="6"/>
      <c r="Q719" s="6"/>
      <c r="R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P720" s="6"/>
      <c r="Q720" s="6"/>
      <c r="R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P721" s="6"/>
      <c r="Q721" s="6"/>
      <c r="R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P722" s="6"/>
      <c r="Q722" s="6"/>
      <c r="R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P723" s="6"/>
      <c r="Q723" s="6"/>
      <c r="R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P724" s="6"/>
      <c r="Q724" s="6"/>
      <c r="R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P725" s="6"/>
      <c r="Q725" s="6"/>
      <c r="R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P726" s="6"/>
      <c r="Q726" s="6"/>
      <c r="R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P727" s="6"/>
      <c r="Q727" s="6"/>
      <c r="R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P728" s="6"/>
      <c r="Q728" s="6"/>
      <c r="R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P729" s="6"/>
      <c r="Q729" s="6"/>
      <c r="R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P730" s="6"/>
      <c r="Q730" s="6"/>
      <c r="R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P731" s="6"/>
      <c r="Q731" s="6"/>
      <c r="R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P732" s="6"/>
      <c r="Q732" s="6"/>
      <c r="R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P733" s="6"/>
      <c r="Q733" s="6"/>
      <c r="R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P734" s="6"/>
      <c r="Q734" s="6"/>
      <c r="R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P735" s="6"/>
      <c r="Q735" s="6"/>
      <c r="R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P736" s="6"/>
      <c r="Q736" s="6"/>
      <c r="R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P737" s="6"/>
      <c r="Q737" s="6"/>
      <c r="R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P738" s="6"/>
      <c r="Q738" s="6"/>
      <c r="R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P739" s="6"/>
      <c r="Q739" s="6"/>
      <c r="R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P740" s="6"/>
      <c r="Q740" s="6"/>
      <c r="R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P741" s="6"/>
      <c r="Q741" s="6"/>
      <c r="R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P742" s="6"/>
      <c r="Q742" s="6"/>
      <c r="R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P743" s="6"/>
      <c r="Q743" s="6"/>
      <c r="R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P744" s="6"/>
      <c r="Q744" s="6"/>
      <c r="R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P745" s="6"/>
      <c r="Q745" s="6"/>
      <c r="R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P746" s="6"/>
      <c r="Q746" s="6"/>
      <c r="R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P747" s="6"/>
      <c r="Q747" s="6"/>
      <c r="R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P748" s="6"/>
      <c r="Q748" s="6"/>
      <c r="R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P749" s="6"/>
      <c r="Q749" s="6"/>
      <c r="R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P750" s="6"/>
      <c r="Q750" s="6"/>
      <c r="R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P751" s="6"/>
      <c r="Q751" s="6"/>
      <c r="R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P752" s="6"/>
      <c r="Q752" s="6"/>
      <c r="R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P753" s="6"/>
      <c r="Q753" s="6"/>
      <c r="R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P754" s="6"/>
      <c r="Q754" s="6"/>
      <c r="R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P755" s="6"/>
      <c r="Q755" s="6"/>
      <c r="R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P756" s="6"/>
      <c r="Q756" s="6"/>
      <c r="R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P757" s="6"/>
      <c r="Q757" s="6"/>
      <c r="R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P758" s="6"/>
      <c r="Q758" s="6"/>
      <c r="R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P759" s="6"/>
      <c r="Q759" s="6"/>
      <c r="R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P760" s="6"/>
      <c r="Q760" s="6"/>
      <c r="R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P761" s="6"/>
      <c r="Q761" s="6"/>
      <c r="R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P762" s="6"/>
      <c r="Q762" s="6"/>
      <c r="R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P763" s="6"/>
      <c r="Q763" s="6"/>
      <c r="R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P764" s="6"/>
      <c r="Q764" s="6"/>
      <c r="R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P765" s="6"/>
      <c r="Q765" s="6"/>
      <c r="R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P766" s="6"/>
      <c r="Q766" s="6"/>
      <c r="R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P767" s="6"/>
      <c r="Q767" s="6"/>
      <c r="R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P768" s="6"/>
      <c r="Q768" s="6"/>
      <c r="R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P769" s="6"/>
      <c r="Q769" s="6"/>
      <c r="R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P770" s="6"/>
      <c r="Q770" s="6"/>
      <c r="R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P771" s="6"/>
      <c r="Q771" s="6"/>
      <c r="R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P772" s="6"/>
      <c r="Q772" s="6"/>
      <c r="R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P773" s="6"/>
      <c r="Q773" s="6"/>
      <c r="R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P774" s="6"/>
      <c r="Q774" s="6"/>
      <c r="R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P775" s="6"/>
      <c r="Q775" s="6"/>
      <c r="R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P776" s="6"/>
      <c r="Q776" s="6"/>
      <c r="R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P777" s="6"/>
      <c r="Q777" s="6"/>
      <c r="R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P778" s="6"/>
      <c r="Q778" s="6"/>
      <c r="R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P779" s="6"/>
      <c r="Q779" s="6"/>
      <c r="R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P780" s="6"/>
      <c r="Q780" s="6"/>
      <c r="R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P781" s="6"/>
      <c r="Q781" s="6"/>
      <c r="R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P782" s="6"/>
      <c r="Q782" s="6"/>
      <c r="R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P783" s="6"/>
      <c r="Q783" s="6"/>
      <c r="R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P784" s="6"/>
      <c r="Q784" s="6"/>
      <c r="R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P785" s="6"/>
      <c r="Q785" s="6"/>
      <c r="R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P786" s="6"/>
      <c r="Q786" s="6"/>
      <c r="R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P787" s="6"/>
      <c r="Q787" s="6"/>
      <c r="R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P788" s="6"/>
      <c r="Q788" s="6"/>
      <c r="R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P789" s="6"/>
      <c r="Q789" s="6"/>
      <c r="R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P790" s="6"/>
      <c r="Q790" s="6"/>
      <c r="R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P791" s="6"/>
      <c r="Q791" s="6"/>
      <c r="R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P792" s="6"/>
      <c r="Q792" s="6"/>
      <c r="R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P793" s="6"/>
      <c r="Q793" s="6"/>
      <c r="R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P794" s="6"/>
      <c r="Q794" s="6"/>
      <c r="R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P795" s="6"/>
      <c r="Q795" s="6"/>
      <c r="R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P796" s="6"/>
      <c r="Q796" s="6"/>
      <c r="R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P797" s="6"/>
      <c r="Q797" s="6"/>
      <c r="R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P798" s="6"/>
      <c r="Q798" s="6"/>
      <c r="R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P799" s="6"/>
      <c r="Q799" s="6"/>
      <c r="R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P800" s="6"/>
      <c r="Q800" s="6"/>
      <c r="R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P801" s="6"/>
      <c r="Q801" s="6"/>
      <c r="R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P802" s="6"/>
      <c r="Q802" s="6"/>
      <c r="R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P803" s="6"/>
      <c r="Q803" s="6"/>
      <c r="R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P804" s="6"/>
      <c r="Q804" s="6"/>
      <c r="R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P805" s="6"/>
      <c r="Q805" s="6"/>
      <c r="R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P806" s="6"/>
      <c r="Q806" s="6"/>
      <c r="R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P807" s="6"/>
      <c r="Q807" s="6"/>
      <c r="R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P808" s="6"/>
      <c r="Q808" s="6"/>
      <c r="R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P809" s="6"/>
      <c r="Q809" s="6"/>
      <c r="R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P810" s="6"/>
      <c r="Q810" s="6"/>
      <c r="R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P811" s="6"/>
      <c r="Q811" s="6"/>
      <c r="R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P812" s="6"/>
      <c r="Q812" s="6"/>
      <c r="R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P813" s="6"/>
      <c r="Q813" s="6"/>
      <c r="R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P814" s="6"/>
      <c r="Q814" s="6"/>
      <c r="R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P815" s="6"/>
      <c r="Q815" s="6"/>
      <c r="R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P816" s="6"/>
      <c r="Q816" s="6"/>
      <c r="R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P817" s="6"/>
      <c r="Q817" s="6"/>
      <c r="R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P818" s="6"/>
      <c r="Q818" s="6"/>
      <c r="R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P819" s="6"/>
      <c r="Q819" s="6"/>
      <c r="R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P820" s="6"/>
      <c r="Q820" s="6"/>
      <c r="R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P821" s="6"/>
      <c r="Q821" s="6"/>
      <c r="R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P822" s="6"/>
      <c r="Q822" s="6"/>
      <c r="R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P823" s="6"/>
      <c r="Q823" s="6"/>
      <c r="R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P824" s="6"/>
      <c r="Q824" s="6"/>
      <c r="R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P825" s="6"/>
      <c r="Q825" s="6"/>
      <c r="R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P826" s="6"/>
      <c r="Q826" s="6"/>
      <c r="R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P827" s="6"/>
      <c r="Q827" s="6"/>
      <c r="R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P828" s="6"/>
      <c r="Q828" s="6"/>
      <c r="R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P829" s="6"/>
      <c r="Q829" s="6"/>
      <c r="R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P830" s="6"/>
      <c r="Q830" s="6"/>
      <c r="R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P831" s="6"/>
      <c r="Q831" s="6"/>
      <c r="R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P832" s="6"/>
      <c r="Q832" s="6"/>
      <c r="R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P833" s="6"/>
      <c r="Q833" s="6"/>
      <c r="R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P834" s="6"/>
      <c r="Q834" s="6"/>
      <c r="R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P835" s="6"/>
      <c r="Q835" s="6"/>
      <c r="R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P836" s="6"/>
      <c r="Q836" s="6"/>
      <c r="R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P837" s="6"/>
      <c r="Q837" s="6"/>
      <c r="R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P838" s="6"/>
      <c r="Q838" s="6"/>
      <c r="R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P839" s="6"/>
      <c r="Q839" s="6"/>
      <c r="R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P840" s="6"/>
      <c r="Q840" s="6"/>
      <c r="R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P841" s="6"/>
      <c r="Q841" s="6"/>
      <c r="R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P842" s="6"/>
      <c r="Q842" s="6"/>
      <c r="R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P843" s="6"/>
      <c r="Q843" s="6"/>
      <c r="R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P844" s="6"/>
      <c r="Q844" s="6"/>
      <c r="R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P845" s="6"/>
      <c r="Q845" s="6"/>
      <c r="R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P846" s="6"/>
      <c r="Q846" s="6"/>
      <c r="R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P847" s="6"/>
      <c r="Q847" s="6"/>
      <c r="R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P848" s="6"/>
      <c r="Q848" s="6"/>
      <c r="R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P849" s="6"/>
      <c r="Q849" s="6"/>
      <c r="R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P850" s="6"/>
      <c r="Q850" s="6"/>
      <c r="R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P851" s="6"/>
      <c r="Q851" s="6"/>
      <c r="R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P852" s="6"/>
      <c r="Q852" s="6"/>
      <c r="R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P853" s="6"/>
      <c r="Q853" s="6"/>
      <c r="R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P854" s="6"/>
      <c r="Q854" s="6"/>
      <c r="R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P855" s="6"/>
      <c r="Q855" s="6"/>
      <c r="R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P856" s="6"/>
      <c r="Q856" s="6"/>
      <c r="R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P857" s="6"/>
      <c r="Q857" s="6"/>
      <c r="R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P858" s="6"/>
      <c r="Q858" s="6"/>
      <c r="R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P859" s="6"/>
      <c r="Q859" s="6"/>
      <c r="R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P860" s="6"/>
      <c r="Q860" s="6"/>
      <c r="R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P861" s="6"/>
      <c r="Q861" s="6"/>
      <c r="R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P862" s="6"/>
      <c r="Q862" s="6"/>
      <c r="R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P863" s="6"/>
      <c r="Q863" s="6"/>
      <c r="R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P864" s="6"/>
      <c r="Q864" s="6"/>
      <c r="R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P865" s="6"/>
      <c r="Q865" s="6"/>
      <c r="R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P866" s="6"/>
      <c r="Q866" s="6"/>
      <c r="R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P867" s="6"/>
      <c r="Q867" s="6"/>
      <c r="R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P868" s="6"/>
      <c r="Q868" s="6"/>
      <c r="R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P869" s="6"/>
      <c r="Q869" s="6"/>
      <c r="R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P870" s="6"/>
      <c r="Q870" s="6"/>
      <c r="R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P871" s="6"/>
      <c r="Q871" s="6"/>
      <c r="R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P872" s="6"/>
      <c r="Q872" s="6"/>
      <c r="R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P873" s="6"/>
      <c r="Q873" s="6"/>
      <c r="R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P874" s="6"/>
      <c r="Q874" s="6"/>
      <c r="R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P875" s="6"/>
      <c r="Q875" s="6"/>
      <c r="R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P876" s="6"/>
      <c r="Q876" s="6"/>
      <c r="R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P877" s="6"/>
      <c r="Q877" s="6"/>
      <c r="R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P878" s="6"/>
      <c r="Q878" s="6"/>
      <c r="R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P879" s="6"/>
      <c r="Q879" s="6"/>
      <c r="R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P880" s="6"/>
      <c r="Q880" s="6"/>
      <c r="R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P881" s="6"/>
      <c r="Q881" s="6"/>
      <c r="R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P882" s="6"/>
      <c r="Q882" s="6"/>
      <c r="R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P883" s="6"/>
      <c r="Q883" s="6"/>
      <c r="R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P884" s="6"/>
      <c r="Q884" s="6"/>
      <c r="R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P885" s="6"/>
      <c r="Q885" s="6"/>
      <c r="R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P886" s="6"/>
      <c r="Q886" s="6"/>
      <c r="R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P887" s="6"/>
      <c r="Q887" s="6"/>
      <c r="R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P888" s="6"/>
      <c r="Q888" s="6"/>
      <c r="R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P889" s="6"/>
      <c r="Q889" s="6"/>
      <c r="R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P890" s="6"/>
      <c r="Q890" s="6"/>
      <c r="R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P891" s="6"/>
      <c r="Q891" s="6"/>
      <c r="R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P892" s="6"/>
      <c r="Q892" s="6"/>
      <c r="R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P893" s="6"/>
      <c r="Q893" s="6"/>
      <c r="R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P894" s="6"/>
      <c r="Q894" s="6"/>
      <c r="R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P895" s="6"/>
      <c r="Q895" s="6"/>
      <c r="R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P896" s="6"/>
      <c r="Q896" s="6"/>
      <c r="R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P897" s="6"/>
      <c r="Q897" s="6"/>
      <c r="R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P898" s="6"/>
      <c r="Q898" s="6"/>
      <c r="R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P899" s="6"/>
      <c r="Q899" s="6"/>
      <c r="R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P900" s="6"/>
      <c r="Q900" s="6"/>
      <c r="R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P901" s="6"/>
      <c r="Q901" s="6"/>
      <c r="R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P902" s="6"/>
      <c r="Q902" s="6"/>
      <c r="R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P903" s="6"/>
      <c r="Q903" s="6"/>
      <c r="R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P904" s="6"/>
      <c r="Q904" s="6"/>
      <c r="R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P905" s="6"/>
      <c r="Q905" s="6"/>
      <c r="R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P906" s="6"/>
      <c r="Q906" s="6"/>
      <c r="R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P907" s="6"/>
      <c r="Q907" s="6"/>
      <c r="R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P908" s="6"/>
      <c r="Q908" s="6"/>
      <c r="R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P909" s="6"/>
      <c r="Q909" s="6"/>
      <c r="R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P910" s="6"/>
      <c r="Q910" s="6"/>
      <c r="R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P911" s="6"/>
      <c r="Q911" s="6"/>
      <c r="R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P912" s="6"/>
      <c r="Q912" s="6"/>
      <c r="R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P913" s="6"/>
      <c r="Q913" s="6"/>
      <c r="R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P914" s="6"/>
      <c r="Q914" s="6"/>
      <c r="R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P915" s="6"/>
      <c r="Q915" s="6"/>
      <c r="R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P916" s="6"/>
      <c r="Q916" s="6"/>
      <c r="R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P917" s="6"/>
      <c r="Q917" s="6"/>
      <c r="R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P918" s="6"/>
      <c r="Q918" s="6"/>
      <c r="R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P919" s="6"/>
      <c r="Q919" s="6"/>
      <c r="R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P920" s="6"/>
      <c r="Q920" s="6"/>
      <c r="R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P921" s="6"/>
      <c r="Q921" s="6"/>
      <c r="R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P922" s="6"/>
      <c r="Q922" s="6"/>
      <c r="R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P923" s="6"/>
      <c r="Q923" s="6"/>
      <c r="R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P924" s="6"/>
      <c r="Q924" s="6"/>
      <c r="R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P925" s="6"/>
      <c r="Q925" s="6"/>
      <c r="R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P926" s="6"/>
      <c r="Q926" s="6"/>
      <c r="R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P927" s="6"/>
      <c r="Q927" s="6"/>
      <c r="R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P928" s="6"/>
      <c r="Q928" s="6"/>
      <c r="R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P929" s="6"/>
      <c r="Q929" s="6"/>
      <c r="R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P930" s="6"/>
      <c r="Q930" s="6"/>
      <c r="R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P931" s="6"/>
      <c r="Q931" s="6"/>
      <c r="R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P932" s="6"/>
      <c r="Q932" s="6"/>
      <c r="R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P933" s="6"/>
      <c r="Q933" s="6"/>
      <c r="R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P934" s="6"/>
      <c r="Q934" s="6"/>
      <c r="R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P935" s="6"/>
      <c r="Q935" s="6"/>
      <c r="R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P936" s="6"/>
      <c r="Q936" s="6"/>
      <c r="R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P937" s="6"/>
      <c r="Q937" s="6"/>
      <c r="R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P938" s="6"/>
      <c r="Q938" s="6"/>
      <c r="R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P939" s="6"/>
      <c r="Q939" s="6"/>
      <c r="R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P940" s="6"/>
      <c r="Q940" s="6"/>
      <c r="R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P941" s="6"/>
      <c r="Q941" s="6"/>
      <c r="R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P942" s="6"/>
      <c r="Q942" s="6"/>
      <c r="R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P943" s="6"/>
      <c r="Q943" s="6"/>
      <c r="R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P944" s="6"/>
      <c r="Q944" s="6"/>
      <c r="R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P945" s="6"/>
      <c r="Q945" s="6"/>
      <c r="R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P946" s="6"/>
      <c r="Q946" s="6"/>
      <c r="R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P947" s="6"/>
      <c r="Q947" s="6"/>
      <c r="R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P948" s="6"/>
      <c r="Q948" s="6"/>
      <c r="R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P949" s="6"/>
      <c r="Q949" s="6"/>
      <c r="R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P950" s="6"/>
      <c r="Q950" s="6"/>
      <c r="R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P951" s="6"/>
      <c r="Q951" s="6"/>
      <c r="R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P952" s="6"/>
      <c r="Q952" s="6"/>
      <c r="R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P953" s="6"/>
      <c r="Q953" s="6"/>
      <c r="R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P954" s="6"/>
      <c r="Q954" s="6"/>
      <c r="R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P955" s="6"/>
      <c r="Q955" s="6"/>
      <c r="R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P956" s="6"/>
      <c r="Q956" s="6"/>
      <c r="R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P957" s="6"/>
      <c r="Q957" s="6"/>
      <c r="R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P958" s="6"/>
      <c r="Q958" s="6"/>
      <c r="R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P959" s="6"/>
      <c r="Q959" s="6"/>
      <c r="R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P960" s="6"/>
      <c r="Q960" s="6"/>
      <c r="R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P961" s="6"/>
      <c r="Q961" s="6"/>
      <c r="R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P962" s="6"/>
      <c r="Q962" s="6"/>
      <c r="R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P963" s="6"/>
      <c r="Q963" s="6"/>
      <c r="R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P964" s="6"/>
      <c r="Q964" s="6"/>
      <c r="R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P965" s="6"/>
      <c r="Q965" s="6"/>
      <c r="R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P966" s="6"/>
      <c r="Q966" s="6"/>
      <c r="R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P967" s="6"/>
      <c r="Q967" s="6"/>
      <c r="R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P968" s="6"/>
      <c r="Q968" s="6"/>
      <c r="R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P969" s="6"/>
      <c r="Q969" s="6"/>
      <c r="R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P970" s="6"/>
      <c r="Q970" s="6"/>
      <c r="R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P971" s="6"/>
      <c r="Q971" s="6"/>
      <c r="R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P972" s="6"/>
      <c r="Q972" s="6"/>
      <c r="R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P973" s="6"/>
      <c r="Q973" s="6"/>
      <c r="R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P974" s="6"/>
      <c r="Q974" s="6"/>
      <c r="R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P975" s="6"/>
      <c r="Q975" s="6"/>
      <c r="R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P976" s="6"/>
      <c r="Q976" s="6"/>
      <c r="R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P977" s="6"/>
      <c r="Q977" s="6"/>
      <c r="R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P978" s="6"/>
      <c r="Q978" s="6"/>
      <c r="R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P979" s="6"/>
      <c r="Q979" s="6"/>
      <c r="R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P980" s="6"/>
      <c r="Q980" s="6"/>
      <c r="R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P981" s="6"/>
      <c r="Q981" s="6"/>
      <c r="R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P982" s="6"/>
      <c r="Q982" s="6"/>
      <c r="R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P983" s="6"/>
      <c r="Q983" s="6"/>
      <c r="R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P984" s="6"/>
      <c r="Q984" s="6"/>
      <c r="R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P985" s="6"/>
      <c r="Q985" s="6"/>
      <c r="R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P986" s="6"/>
      <c r="Q986" s="6"/>
      <c r="R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P987" s="6"/>
      <c r="Q987" s="6"/>
      <c r="R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P988" s="6"/>
      <c r="Q988" s="6"/>
      <c r="R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P989" s="6"/>
      <c r="Q989" s="6"/>
      <c r="R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P990" s="6"/>
      <c r="Q990" s="6"/>
      <c r="R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P991" s="6"/>
      <c r="Q991" s="6"/>
      <c r="R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P992" s="6"/>
      <c r="Q992" s="6"/>
      <c r="R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P993" s="6"/>
      <c r="Q993" s="6"/>
      <c r="R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P994" s="6"/>
      <c r="Q994" s="6"/>
      <c r="R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P995" s="6"/>
      <c r="Q995" s="6"/>
      <c r="R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P996" s="6"/>
      <c r="Q996" s="6"/>
      <c r="R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P997" s="6"/>
      <c r="Q997" s="6"/>
      <c r="R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P998" s="6"/>
      <c r="Q998" s="6"/>
      <c r="R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P999" s="6"/>
      <c r="Q999" s="6"/>
      <c r="R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P1000" s="6"/>
      <c r="Q1000" s="6"/>
      <c r="R1000" s="6"/>
    </row>
  </sheetData>
  <mergeCells count="129">
    <mergeCell ref="M26:P26"/>
    <mergeCell ref="M27:P27"/>
    <mergeCell ref="M28:P28"/>
    <mergeCell ref="M29:P29"/>
    <mergeCell ref="M30:P30"/>
    <mergeCell ref="M31:P31"/>
    <mergeCell ref="M32:P32"/>
    <mergeCell ref="M33:P33"/>
    <mergeCell ref="M34:P34"/>
    <mergeCell ref="M35:P35"/>
    <mergeCell ref="M36:P36"/>
    <mergeCell ref="M37:P37"/>
    <mergeCell ref="M38:P38"/>
    <mergeCell ref="M39:P39"/>
    <mergeCell ref="M47:P47"/>
    <mergeCell ref="M48:P48"/>
    <mergeCell ref="M40:P40"/>
    <mergeCell ref="M41:P41"/>
    <mergeCell ref="M42:P42"/>
    <mergeCell ref="M43:P43"/>
    <mergeCell ref="M44:P44"/>
    <mergeCell ref="M45:P45"/>
    <mergeCell ref="M46:P46"/>
    <mergeCell ref="E5:L5"/>
    <mergeCell ref="A7:L7"/>
    <mergeCell ref="B8:F8"/>
    <mergeCell ref="G8:H8"/>
    <mergeCell ref="B1:D1"/>
    <mergeCell ref="F1:H1"/>
    <mergeCell ref="K1:L1"/>
    <mergeCell ref="M1:P7"/>
    <mergeCell ref="B3:D3"/>
    <mergeCell ref="F3:H3"/>
    <mergeCell ref="B5:D5"/>
    <mergeCell ref="M8:P8"/>
    <mergeCell ref="A9:P9"/>
    <mergeCell ref="B10:F10"/>
    <mergeCell ref="G10:H10"/>
    <mergeCell ref="M10:P10"/>
    <mergeCell ref="G11:H11"/>
    <mergeCell ref="M11:P11"/>
    <mergeCell ref="B11:F11"/>
    <mergeCell ref="B12:F12"/>
    <mergeCell ref="G12:H12"/>
    <mergeCell ref="B13:F13"/>
    <mergeCell ref="G13:H13"/>
    <mergeCell ref="G14:H14"/>
    <mergeCell ref="B14:F14"/>
    <mergeCell ref="M12:P12"/>
    <mergeCell ref="M13:P13"/>
    <mergeCell ref="M14:P14"/>
    <mergeCell ref="M15:P15"/>
    <mergeCell ref="M16:P16"/>
    <mergeCell ref="M17:P17"/>
    <mergeCell ref="M18:P18"/>
    <mergeCell ref="B22:F22"/>
    <mergeCell ref="G22:H22"/>
    <mergeCell ref="M19:P19"/>
    <mergeCell ref="M20:P20"/>
    <mergeCell ref="M21:P21"/>
    <mergeCell ref="M22:P22"/>
    <mergeCell ref="M23:P23"/>
    <mergeCell ref="M24:P24"/>
    <mergeCell ref="M25:P25"/>
    <mergeCell ref="B37:F37"/>
    <mergeCell ref="G37:H37"/>
    <mergeCell ref="B38:F38"/>
    <mergeCell ref="G38:H38"/>
    <mergeCell ref="B39:F39"/>
    <mergeCell ref="G39:H39"/>
    <mergeCell ref="G40:H40"/>
    <mergeCell ref="B40:F40"/>
    <mergeCell ref="B41:F41"/>
    <mergeCell ref="G41:H41"/>
    <mergeCell ref="B42:F42"/>
    <mergeCell ref="G42:H42"/>
    <mergeCell ref="B43:F43"/>
    <mergeCell ref="G43:H43"/>
    <mergeCell ref="A48:J48"/>
    <mergeCell ref="B15:F15"/>
    <mergeCell ref="G15:H15"/>
    <mergeCell ref="B16:F16"/>
    <mergeCell ref="G16:H16"/>
    <mergeCell ref="B17:F17"/>
    <mergeCell ref="G17:H17"/>
    <mergeCell ref="G18:H18"/>
    <mergeCell ref="B18:F18"/>
    <mergeCell ref="B19:F19"/>
    <mergeCell ref="G19:H19"/>
    <mergeCell ref="B20:F20"/>
    <mergeCell ref="G20:H20"/>
    <mergeCell ref="B21:F21"/>
    <mergeCell ref="G21:H21"/>
    <mergeCell ref="B23:F23"/>
    <mergeCell ref="G23:H23"/>
    <mergeCell ref="B24:F24"/>
    <mergeCell ref="G24:H24"/>
    <mergeCell ref="B25:F25"/>
    <mergeCell ref="G25:H25"/>
    <mergeCell ref="G26:H26"/>
    <mergeCell ref="B26:F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G33:H33"/>
    <mergeCell ref="B33:F33"/>
    <mergeCell ref="B34:F34"/>
    <mergeCell ref="G34:H34"/>
    <mergeCell ref="B35:F35"/>
    <mergeCell ref="G35:H35"/>
    <mergeCell ref="B36:F36"/>
    <mergeCell ref="G36:H36"/>
    <mergeCell ref="B44:F44"/>
    <mergeCell ref="G44:H44"/>
    <mergeCell ref="B45:F45"/>
    <mergeCell ref="G45:H45"/>
    <mergeCell ref="B46:F46"/>
    <mergeCell ref="G46:H46"/>
    <mergeCell ref="B47:F47"/>
    <mergeCell ref="G47:H47"/>
  </mergeCells>
  <dataValidations>
    <dataValidation type="list" allowBlank="1" showErrorMessage="1" sqref="I10:I47">
      <formula1>DATI!$F$2:$F$17</formula1>
    </dataValidation>
    <dataValidation type="list" allowBlank="1" showErrorMessage="1" sqref="K3">
      <formula1>DATI!$B$2:$B$17</formula1>
    </dataValidation>
    <dataValidation type="list" allowBlank="1" showErrorMessage="1" sqref="B5">
      <formula1>DATI!$A$2:$A$17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38"/>
    <col customWidth="1" min="3" max="3" width="12.63"/>
    <col customWidth="1" min="4" max="4" width="36.0"/>
    <col customWidth="1" min="5" max="6" width="12.63"/>
  </cols>
  <sheetData>
    <row r="1" ht="15.75" customHeight="1">
      <c r="A1" s="51" t="s">
        <v>37</v>
      </c>
      <c r="B1" s="12"/>
      <c r="C1" s="12"/>
      <c r="D1" s="13"/>
    </row>
    <row r="2" ht="15.75" customHeight="1">
      <c r="A2" s="52" t="s">
        <v>38</v>
      </c>
      <c r="B2" s="53"/>
      <c r="C2" s="54"/>
      <c r="D2" s="55" t="s">
        <v>39</v>
      </c>
    </row>
    <row r="3" ht="15.75" customHeight="1">
      <c r="A3" s="52" t="s">
        <v>40</v>
      </c>
      <c r="B3" s="53"/>
      <c r="C3" s="56"/>
      <c r="D3" s="57"/>
    </row>
    <row r="4" ht="15.75" customHeight="1">
      <c r="A4" s="52" t="s">
        <v>41</v>
      </c>
      <c r="B4" s="58"/>
      <c r="C4" s="56"/>
      <c r="D4" s="56"/>
    </row>
    <row r="5" ht="15.75" customHeight="1">
      <c r="A5" s="59" t="s">
        <v>42</v>
      </c>
      <c r="B5" s="58" t="str">
        <f>DISTINTA!F5</f>
        <v/>
      </c>
      <c r="C5" s="56"/>
      <c r="D5" s="56"/>
    </row>
    <row r="6" ht="15.75" customHeight="1">
      <c r="A6" s="60" t="s">
        <v>43</v>
      </c>
      <c r="B6" s="61"/>
      <c r="C6" s="56"/>
      <c r="D6" s="56"/>
    </row>
    <row r="7" ht="15.75" customHeight="1">
      <c r="A7" s="52" t="s">
        <v>44</v>
      </c>
      <c r="B7" s="62"/>
      <c r="C7" s="56"/>
      <c r="D7" s="56"/>
    </row>
    <row r="8" ht="15.75" customHeight="1">
      <c r="A8" s="52" t="s">
        <v>45</v>
      </c>
      <c r="B8" s="53"/>
      <c r="C8" s="56"/>
      <c r="D8" s="56"/>
    </row>
    <row r="9" ht="15.75" customHeight="1">
      <c r="A9" s="52" t="s">
        <v>46</v>
      </c>
      <c r="B9" s="62"/>
      <c r="C9" s="63"/>
      <c r="D9" s="63"/>
    </row>
    <row r="10" ht="15.75" customHeight="1">
      <c r="B10" s="6"/>
      <c r="D10" s="6"/>
    </row>
    <row r="11" ht="15.75" customHeight="1">
      <c r="B11" s="6"/>
      <c r="D11" s="6"/>
    </row>
    <row r="12" ht="15.75" customHeight="1">
      <c r="B12" s="6"/>
      <c r="D12" s="6"/>
    </row>
    <row r="13" ht="15.75" customHeight="1">
      <c r="B13" s="6"/>
      <c r="D13" s="6"/>
    </row>
    <row r="14" ht="15.75" customHeight="1">
      <c r="B14" s="6"/>
      <c r="D14" s="6"/>
    </row>
    <row r="15" ht="15.75" customHeight="1">
      <c r="B15" s="6"/>
      <c r="D15" s="6"/>
    </row>
    <row r="16" ht="15.75" customHeight="1">
      <c r="B16" s="6"/>
      <c r="D16" s="6"/>
    </row>
    <row r="17" ht="15.75" customHeight="1">
      <c r="B17" s="6"/>
      <c r="D17" s="6"/>
    </row>
    <row r="18" ht="15.75" customHeight="1">
      <c r="B18" s="6"/>
      <c r="D18" s="6"/>
    </row>
    <row r="19" ht="15.75" customHeight="1">
      <c r="B19" s="6"/>
      <c r="D19" s="6"/>
    </row>
    <row r="20" ht="15.75" customHeight="1">
      <c r="B20" s="6"/>
      <c r="D20" s="6"/>
    </row>
    <row r="21" ht="15.75" customHeight="1">
      <c r="B21" s="6"/>
      <c r="D21" s="6"/>
    </row>
    <row r="22" ht="15.75" customHeight="1">
      <c r="B22" s="6"/>
      <c r="D22" s="6"/>
    </row>
    <row r="23" ht="15.75" customHeight="1">
      <c r="B23" s="6"/>
      <c r="D23" s="6"/>
    </row>
    <row r="24" ht="15.75" customHeight="1">
      <c r="B24" s="6"/>
      <c r="D24" s="6"/>
    </row>
    <row r="25" ht="15.75" customHeight="1">
      <c r="B25" s="6"/>
      <c r="D25" s="6"/>
    </row>
    <row r="26" ht="15.75" customHeight="1">
      <c r="B26" s="6"/>
      <c r="D26" s="6"/>
    </row>
    <row r="27" ht="15.75" customHeight="1">
      <c r="B27" s="6"/>
      <c r="D27" s="6"/>
    </row>
    <row r="28" ht="15.75" customHeight="1">
      <c r="B28" s="6"/>
      <c r="D28" s="6"/>
    </row>
    <row r="29" ht="15.75" customHeight="1">
      <c r="B29" s="6"/>
      <c r="D29" s="6"/>
    </row>
    <row r="30" ht="15.75" customHeight="1">
      <c r="B30" s="6"/>
      <c r="D30" s="6"/>
    </row>
    <row r="31" ht="15.75" customHeight="1">
      <c r="B31" s="6"/>
      <c r="D31" s="6"/>
    </row>
    <row r="32" ht="15.75" customHeight="1">
      <c r="B32" s="6"/>
      <c r="D32" s="6"/>
    </row>
    <row r="33" ht="15.75" customHeight="1">
      <c r="B33" s="6"/>
      <c r="D33" s="6"/>
    </row>
    <row r="34" ht="15.75" customHeight="1">
      <c r="B34" s="6"/>
      <c r="D34" s="6"/>
    </row>
    <row r="35" ht="15.75" customHeight="1">
      <c r="B35" s="6"/>
      <c r="D35" s="6"/>
    </row>
    <row r="36" ht="15.75" customHeight="1">
      <c r="B36" s="6"/>
      <c r="D36" s="6"/>
    </row>
    <row r="37" ht="15.75" customHeight="1">
      <c r="B37" s="6"/>
      <c r="D37" s="6"/>
    </row>
    <row r="38" ht="15.75" customHeight="1">
      <c r="B38" s="6"/>
      <c r="D38" s="6"/>
    </row>
    <row r="39" ht="15.75" customHeight="1">
      <c r="B39" s="6"/>
      <c r="D39" s="6"/>
    </row>
    <row r="40" ht="15.75" customHeight="1">
      <c r="B40" s="6"/>
      <c r="D40" s="6"/>
    </row>
    <row r="41" ht="15.75" customHeight="1">
      <c r="B41" s="6"/>
      <c r="D41" s="6"/>
    </row>
    <row r="42" ht="15.75" customHeight="1">
      <c r="B42" s="6"/>
      <c r="D42" s="6"/>
    </row>
    <row r="43" ht="15.75" customHeight="1">
      <c r="B43" s="6"/>
      <c r="D43" s="6"/>
    </row>
    <row r="44" ht="15.75" customHeight="1">
      <c r="B44" s="6"/>
      <c r="D44" s="6"/>
    </row>
    <row r="45" ht="15.75" customHeight="1">
      <c r="B45" s="6"/>
      <c r="D45" s="6"/>
    </row>
    <row r="46" ht="15.75" customHeight="1">
      <c r="B46" s="6"/>
      <c r="D46" s="6"/>
    </row>
    <row r="47" ht="15.75" customHeight="1">
      <c r="B47" s="6"/>
      <c r="D47" s="6"/>
    </row>
    <row r="48" ht="15.75" customHeight="1">
      <c r="B48" s="6"/>
      <c r="D48" s="6"/>
    </row>
    <row r="49" ht="15.75" customHeight="1">
      <c r="B49" s="6"/>
      <c r="D49" s="6"/>
    </row>
    <row r="50" ht="15.75" customHeight="1">
      <c r="B50" s="6"/>
      <c r="D50" s="6"/>
    </row>
    <row r="51" ht="15.75" customHeight="1">
      <c r="B51" s="6"/>
      <c r="D51" s="6"/>
    </row>
    <row r="52" ht="15.75" customHeight="1">
      <c r="B52" s="6"/>
      <c r="D52" s="6"/>
    </row>
    <row r="53" ht="15.75" customHeight="1">
      <c r="B53" s="6"/>
      <c r="D53" s="6"/>
    </row>
    <row r="54" ht="15.75" customHeight="1">
      <c r="B54" s="6"/>
      <c r="D54" s="6"/>
    </row>
    <row r="55" ht="15.75" customHeight="1">
      <c r="B55" s="6"/>
      <c r="D55" s="6"/>
    </row>
    <row r="56" ht="15.75" customHeight="1">
      <c r="B56" s="6"/>
      <c r="D56" s="6"/>
    </row>
    <row r="57" ht="15.75" customHeight="1">
      <c r="B57" s="6"/>
      <c r="D57" s="6"/>
    </row>
    <row r="58" ht="15.75" customHeight="1">
      <c r="B58" s="6"/>
      <c r="D58" s="6"/>
    </row>
    <row r="59" ht="15.75" customHeight="1">
      <c r="B59" s="6"/>
      <c r="D59" s="6"/>
    </row>
    <row r="60" ht="15.75" customHeight="1">
      <c r="B60" s="6"/>
      <c r="D60" s="6"/>
    </row>
    <row r="61" ht="15.75" customHeight="1">
      <c r="B61" s="6"/>
      <c r="D61" s="6"/>
    </row>
    <row r="62" ht="15.75" customHeight="1">
      <c r="B62" s="6"/>
      <c r="D62" s="6"/>
    </row>
    <row r="63" ht="15.75" customHeight="1">
      <c r="B63" s="6"/>
      <c r="D63" s="6"/>
    </row>
    <row r="64" ht="15.75" customHeight="1">
      <c r="B64" s="6"/>
      <c r="D64" s="6"/>
    </row>
    <row r="65" ht="15.75" customHeight="1">
      <c r="B65" s="6"/>
      <c r="D65" s="6"/>
    </row>
    <row r="66" ht="15.75" customHeight="1">
      <c r="B66" s="6"/>
      <c r="D66" s="6"/>
    </row>
    <row r="67" ht="15.75" customHeight="1">
      <c r="B67" s="6"/>
      <c r="D67" s="6"/>
    </row>
    <row r="68" ht="15.75" customHeight="1">
      <c r="B68" s="6"/>
      <c r="D68" s="6"/>
    </row>
    <row r="69" ht="15.75" customHeight="1">
      <c r="B69" s="6"/>
      <c r="D69" s="6"/>
    </row>
    <row r="70" ht="15.75" customHeight="1">
      <c r="B70" s="6"/>
      <c r="D70" s="6"/>
    </row>
    <row r="71" ht="15.75" customHeight="1">
      <c r="B71" s="6"/>
      <c r="D71" s="6"/>
    </row>
    <row r="72" ht="15.75" customHeight="1">
      <c r="B72" s="6"/>
      <c r="D72" s="6"/>
    </row>
    <row r="73" ht="15.75" customHeight="1">
      <c r="B73" s="6"/>
      <c r="D73" s="6"/>
    </row>
    <row r="74" ht="15.75" customHeight="1">
      <c r="B74" s="6"/>
      <c r="D74" s="6"/>
    </row>
    <row r="75" ht="15.75" customHeight="1">
      <c r="B75" s="6"/>
      <c r="D75" s="6"/>
    </row>
    <row r="76" ht="15.75" customHeight="1">
      <c r="B76" s="6"/>
      <c r="D76" s="6"/>
    </row>
    <row r="77" ht="15.75" customHeight="1">
      <c r="B77" s="6"/>
      <c r="D77" s="6"/>
    </row>
    <row r="78" ht="15.75" customHeight="1">
      <c r="B78" s="6"/>
      <c r="D78" s="6"/>
    </row>
    <row r="79" ht="15.75" customHeight="1">
      <c r="B79" s="6"/>
      <c r="D79" s="6"/>
    </row>
    <row r="80" ht="15.75" customHeight="1">
      <c r="B80" s="6"/>
      <c r="D80" s="6"/>
    </row>
    <row r="81" ht="15.75" customHeight="1">
      <c r="B81" s="6"/>
      <c r="D81" s="6"/>
    </row>
    <row r="82" ht="15.75" customHeight="1">
      <c r="B82" s="6"/>
      <c r="D82" s="6"/>
    </row>
    <row r="83" ht="15.75" customHeight="1">
      <c r="B83" s="6"/>
      <c r="D83" s="6"/>
    </row>
    <row r="84" ht="15.75" customHeight="1">
      <c r="B84" s="6"/>
      <c r="D84" s="6"/>
    </row>
    <row r="85" ht="15.75" customHeight="1">
      <c r="B85" s="6"/>
      <c r="D85" s="6"/>
    </row>
    <row r="86" ht="15.75" customHeight="1">
      <c r="B86" s="6"/>
      <c r="D86" s="6"/>
    </row>
    <row r="87" ht="15.75" customHeight="1">
      <c r="B87" s="6"/>
      <c r="D87" s="6"/>
    </row>
    <row r="88" ht="15.75" customHeight="1">
      <c r="B88" s="6"/>
      <c r="D88" s="6"/>
    </row>
    <row r="89" ht="15.75" customHeight="1">
      <c r="B89" s="6"/>
      <c r="D89" s="6"/>
    </row>
    <row r="90" ht="15.75" customHeight="1">
      <c r="B90" s="6"/>
      <c r="D90" s="6"/>
    </row>
    <row r="91" ht="15.75" customHeight="1">
      <c r="B91" s="6"/>
      <c r="D91" s="6"/>
    </row>
    <row r="92" ht="15.75" customHeight="1">
      <c r="B92" s="6"/>
      <c r="D92" s="6"/>
    </row>
    <row r="93" ht="15.75" customHeight="1">
      <c r="B93" s="6"/>
      <c r="D93" s="6"/>
    </row>
    <row r="94" ht="15.75" customHeight="1">
      <c r="B94" s="6"/>
      <c r="D94" s="6"/>
    </row>
    <row r="95" ht="15.75" customHeight="1">
      <c r="B95" s="6"/>
      <c r="D95" s="6"/>
    </row>
    <row r="96" ht="15.75" customHeight="1">
      <c r="B96" s="6"/>
      <c r="D96" s="6"/>
    </row>
    <row r="97" ht="15.75" customHeight="1">
      <c r="B97" s="6"/>
      <c r="D97" s="6"/>
    </row>
    <row r="98" ht="15.75" customHeight="1">
      <c r="B98" s="6"/>
      <c r="D98" s="6"/>
    </row>
    <row r="99" ht="15.75" customHeight="1">
      <c r="B99" s="6"/>
      <c r="D99" s="6"/>
    </row>
    <row r="100" ht="15.75" customHeight="1">
      <c r="B100" s="6"/>
      <c r="D100" s="6"/>
    </row>
    <row r="101" ht="15.75" customHeight="1">
      <c r="B101" s="6"/>
      <c r="D101" s="6"/>
    </row>
    <row r="102" ht="15.75" customHeight="1">
      <c r="B102" s="6"/>
      <c r="D102" s="6"/>
    </row>
    <row r="103" ht="15.75" customHeight="1">
      <c r="B103" s="6"/>
      <c r="D103" s="6"/>
    </row>
    <row r="104" ht="15.75" customHeight="1">
      <c r="B104" s="6"/>
      <c r="D104" s="6"/>
    </row>
    <row r="105" ht="15.75" customHeight="1">
      <c r="B105" s="6"/>
      <c r="D105" s="6"/>
    </row>
    <row r="106" ht="15.75" customHeight="1">
      <c r="B106" s="6"/>
      <c r="D106" s="6"/>
    </row>
    <row r="107" ht="15.75" customHeight="1">
      <c r="B107" s="6"/>
      <c r="D107" s="6"/>
    </row>
    <row r="108" ht="15.75" customHeight="1">
      <c r="B108" s="6"/>
      <c r="D108" s="6"/>
    </row>
    <row r="109" ht="15.75" customHeight="1">
      <c r="B109" s="6"/>
      <c r="D109" s="6"/>
    </row>
    <row r="110" ht="15.75" customHeight="1">
      <c r="B110" s="6"/>
      <c r="D110" s="6"/>
    </row>
    <row r="111" ht="15.75" customHeight="1">
      <c r="B111" s="6"/>
      <c r="D111" s="6"/>
    </row>
    <row r="112" ht="15.75" customHeight="1">
      <c r="B112" s="6"/>
      <c r="D112" s="6"/>
    </row>
    <row r="113" ht="15.75" customHeight="1">
      <c r="B113" s="6"/>
      <c r="D113" s="6"/>
    </row>
    <row r="114" ht="15.75" customHeight="1">
      <c r="B114" s="6"/>
      <c r="D114" s="6"/>
    </row>
    <row r="115" ht="15.75" customHeight="1">
      <c r="B115" s="6"/>
      <c r="D115" s="6"/>
    </row>
    <row r="116" ht="15.75" customHeight="1">
      <c r="B116" s="6"/>
      <c r="D116" s="6"/>
    </row>
    <row r="117" ht="15.75" customHeight="1">
      <c r="B117" s="6"/>
      <c r="D117" s="6"/>
    </row>
    <row r="118" ht="15.75" customHeight="1">
      <c r="B118" s="6"/>
      <c r="D118" s="6"/>
    </row>
    <row r="119" ht="15.75" customHeight="1">
      <c r="B119" s="6"/>
      <c r="D119" s="6"/>
    </row>
    <row r="120" ht="15.75" customHeight="1">
      <c r="B120" s="6"/>
      <c r="D120" s="6"/>
    </row>
    <row r="121" ht="15.75" customHeight="1">
      <c r="B121" s="6"/>
      <c r="D121" s="6"/>
    </row>
    <row r="122" ht="15.75" customHeight="1">
      <c r="B122" s="6"/>
      <c r="D122" s="6"/>
    </row>
    <row r="123" ht="15.75" customHeight="1">
      <c r="B123" s="6"/>
      <c r="D123" s="6"/>
    </row>
    <row r="124" ht="15.75" customHeight="1">
      <c r="B124" s="6"/>
      <c r="D124" s="6"/>
    </row>
    <row r="125" ht="15.75" customHeight="1">
      <c r="B125" s="6"/>
      <c r="D125" s="6"/>
    </row>
    <row r="126" ht="15.75" customHeight="1">
      <c r="B126" s="6"/>
      <c r="D126" s="6"/>
    </row>
    <row r="127" ht="15.75" customHeight="1">
      <c r="B127" s="6"/>
      <c r="D127" s="6"/>
    </row>
    <row r="128" ht="15.75" customHeight="1">
      <c r="B128" s="6"/>
      <c r="D128" s="6"/>
    </row>
    <row r="129" ht="15.75" customHeight="1">
      <c r="B129" s="6"/>
      <c r="D129" s="6"/>
    </row>
    <row r="130" ht="15.75" customHeight="1">
      <c r="B130" s="6"/>
      <c r="D130" s="6"/>
    </row>
    <row r="131" ht="15.75" customHeight="1">
      <c r="B131" s="6"/>
      <c r="D131" s="6"/>
    </row>
    <row r="132" ht="15.75" customHeight="1">
      <c r="B132" s="6"/>
      <c r="D132" s="6"/>
    </row>
    <row r="133" ht="15.75" customHeight="1">
      <c r="B133" s="6"/>
      <c r="D133" s="6"/>
    </row>
    <row r="134" ht="15.75" customHeight="1">
      <c r="B134" s="6"/>
      <c r="D134" s="6"/>
    </row>
    <row r="135" ht="15.75" customHeight="1">
      <c r="B135" s="6"/>
      <c r="D135" s="6"/>
    </row>
    <row r="136" ht="15.75" customHeight="1">
      <c r="B136" s="6"/>
      <c r="D136" s="6"/>
    </row>
    <row r="137" ht="15.75" customHeight="1">
      <c r="B137" s="6"/>
      <c r="D137" s="6"/>
    </row>
    <row r="138" ht="15.75" customHeight="1">
      <c r="B138" s="6"/>
      <c r="D138" s="6"/>
    </row>
    <row r="139" ht="15.75" customHeight="1">
      <c r="B139" s="6"/>
      <c r="D139" s="6"/>
    </row>
    <row r="140" ht="15.75" customHeight="1">
      <c r="B140" s="6"/>
      <c r="D140" s="6"/>
    </row>
    <row r="141" ht="15.75" customHeight="1">
      <c r="B141" s="6"/>
      <c r="D141" s="6"/>
    </row>
    <row r="142" ht="15.75" customHeight="1">
      <c r="B142" s="6"/>
      <c r="D142" s="6"/>
    </row>
    <row r="143" ht="15.75" customHeight="1">
      <c r="B143" s="6"/>
      <c r="D143" s="6"/>
    </row>
    <row r="144" ht="15.75" customHeight="1">
      <c r="B144" s="6"/>
      <c r="D144" s="6"/>
    </row>
    <row r="145" ht="15.75" customHeight="1">
      <c r="B145" s="6"/>
      <c r="D145" s="6"/>
    </row>
    <row r="146" ht="15.75" customHeight="1">
      <c r="B146" s="6"/>
      <c r="D146" s="6"/>
    </row>
    <row r="147" ht="15.75" customHeight="1">
      <c r="B147" s="6"/>
      <c r="D147" s="6"/>
    </row>
    <row r="148" ht="15.75" customHeight="1">
      <c r="B148" s="6"/>
      <c r="D148" s="6"/>
    </row>
    <row r="149" ht="15.75" customHeight="1">
      <c r="B149" s="6"/>
      <c r="D149" s="6"/>
    </row>
    <row r="150" ht="15.75" customHeight="1">
      <c r="B150" s="6"/>
      <c r="D150" s="6"/>
    </row>
    <row r="151" ht="15.75" customHeight="1">
      <c r="B151" s="6"/>
      <c r="D151" s="6"/>
    </row>
    <row r="152" ht="15.75" customHeight="1">
      <c r="B152" s="6"/>
      <c r="D152" s="6"/>
    </row>
    <row r="153" ht="15.75" customHeight="1">
      <c r="B153" s="6"/>
      <c r="D153" s="6"/>
    </row>
    <row r="154" ht="15.75" customHeight="1">
      <c r="B154" s="6"/>
      <c r="D154" s="6"/>
    </row>
    <row r="155" ht="15.75" customHeight="1">
      <c r="B155" s="6"/>
      <c r="D155" s="6"/>
    </row>
    <row r="156" ht="15.75" customHeight="1">
      <c r="B156" s="6"/>
      <c r="D156" s="6"/>
    </row>
    <row r="157" ht="15.75" customHeight="1">
      <c r="B157" s="6"/>
      <c r="D157" s="6"/>
    </row>
    <row r="158" ht="15.75" customHeight="1">
      <c r="B158" s="6"/>
      <c r="D158" s="6"/>
    </row>
    <row r="159" ht="15.75" customHeight="1">
      <c r="B159" s="6"/>
      <c r="D159" s="6"/>
    </row>
    <row r="160" ht="15.75" customHeight="1">
      <c r="B160" s="6"/>
      <c r="D160" s="6"/>
    </row>
    <row r="161" ht="15.75" customHeight="1">
      <c r="B161" s="6"/>
      <c r="D161" s="6"/>
    </row>
    <row r="162" ht="15.75" customHeight="1">
      <c r="B162" s="6"/>
      <c r="D162" s="6"/>
    </row>
    <row r="163" ht="15.75" customHeight="1">
      <c r="B163" s="6"/>
      <c r="D163" s="6"/>
    </row>
    <row r="164" ht="15.75" customHeight="1">
      <c r="B164" s="6"/>
      <c r="D164" s="6"/>
    </row>
    <row r="165" ht="15.75" customHeight="1">
      <c r="B165" s="6"/>
      <c r="D165" s="6"/>
    </row>
    <row r="166" ht="15.75" customHeight="1">
      <c r="B166" s="6"/>
      <c r="D166" s="6"/>
    </row>
    <row r="167" ht="15.75" customHeight="1">
      <c r="B167" s="6"/>
      <c r="D167" s="6"/>
    </row>
    <row r="168" ht="15.75" customHeight="1">
      <c r="B168" s="6"/>
      <c r="D168" s="6"/>
    </row>
    <row r="169" ht="15.75" customHeight="1">
      <c r="B169" s="6"/>
      <c r="D169" s="6"/>
    </row>
    <row r="170" ht="15.75" customHeight="1">
      <c r="B170" s="6"/>
      <c r="D170" s="6"/>
    </row>
    <row r="171" ht="15.75" customHeight="1">
      <c r="B171" s="6"/>
      <c r="D171" s="6"/>
    </row>
    <row r="172" ht="15.75" customHeight="1">
      <c r="B172" s="6"/>
      <c r="D172" s="6"/>
    </row>
    <row r="173" ht="15.75" customHeight="1">
      <c r="B173" s="6"/>
      <c r="D173" s="6"/>
    </row>
    <row r="174" ht="15.75" customHeight="1">
      <c r="B174" s="6"/>
      <c r="D174" s="6"/>
    </row>
    <row r="175" ht="15.75" customHeight="1">
      <c r="B175" s="6"/>
      <c r="D175" s="6"/>
    </row>
    <row r="176" ht="15.75" customHeight="1">
      <c r="B176" s="6"/>
      <c r="D176" s="6"/>
    </row>
    <row r="177" ht="15.75" customHeight="1">
      <c r="B177" s="6"/>
      <c r="D177" s="6"/>
    </row>
    <row r="178" ht="15.75" customHeight="1">
      <c r="B178" s="6"/>
      <c r="D178" s="6"/>
    </row>
    <row r="179" ht="15.75" customHeight="1">
      <c r="B179" s="6"/>
      <c r="D179" s="6"/>
    </row>
    <row r="180" ht="15.75" customHeight="1">
      <c r="B180" s="6"/>
      <c r="D180" s="6"/>
    </row>
    <row r="181" ht="15.75" customHeight="1">
      <c r="B181" s="6"/>
      <c r="D181" s="6"/>
    </row>
    <row r="182" ht="15.75" customHeight="1">
      <c r="B182" s="6"/>
      <c r="D182" s="6"/>
    </row>
    <row r="183" ht="15.75" customHeight="1">
      <c r="B183" s="6"/>
      <c r="D183" s="6"/>
    </row>
    <row r="184" ht="15.75" customHeight="1">
      <c r="B184" s="6"/>
      <c r="D184" s="6"/>
    </row>
    <row r="185" ht="15.75" customHeight="1">
      <c r="B185" s="6"/>
      <c r="D185" s="6"/>
    </row>
    <row r="186" ht="15.75" customHeight="1">
      <c r="B186" s="6"/>
      <c r="D186" s="6"/>
    </row>
    <row r="187" ht="15.75" customHeight="1">
      <c r="B187" s="6"/>
      <c r="D187" s="6"/>
    </row>
    <row r="188" ht="15.75" customHeight="1">
      <c r="B188" s="6"/>
      <c r="D188" s="6"/>
    </row>
    <row r="189" ht="15.75" customHeight="1">
      <c r="B189" s="6"/>
      <c r="D189" s="6"/>
    </row>
    <row r="190" ht="15.75" customHeight="1">
      <c r="B190" s="6"/>
      <c r="D190" s="6"/>
    </row>
    <row r="191" ht="15.75" customHeight="1">
      <c r="B191" s="6"/>
      <c r="D191" s="6"/>
    </row>
    <row r="192" ht="15.75" customHeight="1">
      <c r="B192" s="6"/>
      <c r="D192" s="6"/>
    </row>
    <row r="193" ht="15.75" customHeight="1">
      <c r="B193" s="6"/>
      <c r="D193" s="6"/>
    </row>
    <row r="194" ht="15.75" customHeight="1">
      <c r="B194" s="6"/>
      <c r="D194" s="6"/>
    </row>
    <row r="195" ht="15.75" customHeight="1">
      <c r="B195" s="6"/>
      <c r="D195" s="6"/>
    </row>
    <row r="196" ht="15.75" customHeight="1">
      <c r="B196" s="6"/>
      <c r="D196" s="6"/>
    </row>
    <row r="197" ht="15.75" customHeight="1">
      <c r="B197" s="6"/>
      <c r="D197" s="6"/>
    </row>
    <row r="198" ht="15.75" customHeight="1">
      <c r="B198" s="6"/>
      <c r="D198" s="6"/>
    </row>
    <row r="199" ht="15.75" customHeight="1">
      <c r="B199" s="6"/>
      <c r="D199" s="6"/>
    </row>
    <row r="200" ht="15.75" customHeight="1">
      <c r="B200" s="6"/>
      <c r="D200" s="6"/>
    </row>
    <row r="201" ht="15.75" customHeight="1">
      <c r="B201" s="6"/>
      <c r="D201" s="6"/>
    </row>
    <row r="202" ht="15.75" customHeight="1">
      <c r="B202" s="6"/>
      <c r="D202" s="6"/>
    </row>
    <row r="203" ht="15.75" customHeight="1">
      <c r="B203" s="6"/>
      <c r="D203" s="6"/>
    </row>
    <row r="204" ht="15.75" customHeight="1">
      <c r="B204" s="6"/>
      <c r="D204" s="6"/>
    </row>
    <row r="205" ht="15.75" customHeight="1">
      <c r="B205" s="6"/>
      <c r="D205" s="6"/>
    </row>
    <row r="206" ht="15.75" customHeight="1">
      <c r="B206" s="6"/>
      <c r="D206" s="6"/>
    </row>
    <row r="207" ht="15.75" customHeight="1">
      <c r="B207" s="6"/>
      <c r="D207" s="6"/>
    </row>
    <row r="208" ht="15.75" customHeight="1">
      <c r="B208" s="6"/>
      <c r="D208" s="6"/>
    </row>
    <row r="209" ht="15.75" customHeight="1">
      <c r="B209" s="6"/>
      <c r="D209" s="6"/>
    </row>
    <row r="210" ht="15.75" customHeight="1">
      <c r="B210" s="6"/>
      <c r="D210" s="6"/>
    </row>
    <row r="211" ht="15.75" customHeight="1">
      <c r="B211" s="6"/>
      <c r="D211" s="6"/>
    </row>
    <row r="212" ht="15.75" customHeight="1">
      <c r="B212" s="6"/>
      <c r="D212" s="6"/>
    </row>
    <row r="213" ht="15.75" customHeight="1">
      <c r="B213" s="6"/>
      <c r="D213" s="6"/>
    </row>
    <row r="214" ht="15.75" customHeight="1">
      <c r="B214" s="6"/>
      <c r="D214" s="6"/>
    </row>
    <row r="215" ht="15.75" customHeight="1">
      <c r="B215" s="6"/>
      <c r="D215" s="6"/>
    </row>
    <row r="216" ht="15.75" customHeight="1">
      <c r="B216" s="6"/>
      <c r="D216" s="6"/>
    </row>
    <row r="217" ht="15.75" customHeight="1">
      <c r="B217" s="6"/>
      <c r="D217" s="6"/>
    </row>
    <row r="218" ht="15.75" customHeight="1">
      <c r="B218" s="6"/>
      <c r="D218" s="6"/>
    </row>
    <row r="219" ht="15.75" customHeight="1">
      <c r="B219" s="6"/>
      <c r="D219" s="6"/>
    </row>
    <row r="220" ht="15.75" customHeight="1">
      <c r="B220" s="6"/>
      <c r="D220" s="6"/>
    </row>
    <row r="221" ht="15.75" customHeight="1">
      <c r="B221" s="6"/>
      <c r="D221" s="6"/>
    </row>
    <row r="222" ht="15.75" customHeight="1">
      <c r="B222" s="6"/>
      <c r="D222" s="6"/>
    </row>
    <row r="223" ht="15.75" customHeight="1">
      <c r="B223" s="6"/>
      <c r="D223" s="6"/>
    </row>
    <row r="224" ht="15.75" customHeight="1">
      <c r="B224" s="6"/>
      <c r="D224" s="6"/>
    </row>
    <row r="225" ht="15.75" customHeight="1">
      <c r="B225" s="6"/>
      <c r="D225" s="6"/>
    </row>
    <row r="226" ht="15.75" customHeight="1">
      <c r="B226" s="6"/>
      <c r="D226" s="6"/>
    </row>
    <row r="227" ht="15.75" customHeight="1">
      <c r="B227" s="6"/>
      <c r="D227" s="6"/>
    </row>
    <row r="228" ht="15.75" customHeight="1">
      <c r="B228" s="6"/>
      <c r="D228" s="6"/>
    </row>
    <row r="229" ht="15.75" customHeight="1">
      <c r="B229" s="6"/>
      <c r="D229" s="6"/>
    </row>
    <row r="230" ht="15.75" customHeight="1">
      <c r="B230" s="6"/>
      <c r="D230" s="6"/>
    </row>
    <row r="231" ht="15.75" customHeight="1">
      <c r="B231" s="6"/>
      <c r="D231" s="6"/>
    </row>
    <row r="232" ht="15.75" customHeight="1">
      <c r="B232" s="6"/>
      <c r="D232" s="6"/>
    </row>
    <row r="233" ht="15.75" customHeight="1">
      <c r="B233" s="6"/>
      <c r="D233" s="6"/>
    </row>
    <row r="234" ht="15.75" customHeight="1">
      <c r="B234" s="6"/>
      <c r="D234" s="6"/>
    </row>
    <row r="235" ht="15.75" customHeight="1">
      <c r="B235" s="6"/>
      <c r="D235" s="6"/>
    </row>
    <row r="236" ht="15.75" customHeight="1">
      <c r="B236" s="6"/>
      <c r="D236" s="6"/>
    </row>
    <row r="237" ht="15.75" customHeight="1">
      <c r="B237" s="6"/>
      <c r="D237" s="6"/>
    </row>
    <row r="238" ht="15.75" customHeight="1">
      <c r="B238" s="6"/>
      <c r="D238" s="6"/>
    </row>
    <row r="239" ht="15.75" customHeight="1">
      <c r="B239" s="6"/>
      <c r="D239" s="6"/>
    </row>
    <row r="240" ht="15.75" customHeight="1">
      <c r="B240" s="6"/>
      <c r="D240" s="6"/>
    </row>
    <row r="241" ht="15.75" customHeight="1">
      <c r="B241" s="6"/>
      <c r="D241" s="6"/>
    </row>
    <row r="242" ht="15.75" customHeight="1">
      <c r="B242" s="6"/>
      <c r="D242" s="6"/>
    </row>
    <row r="243" ht="15.75" customHeight="1">
      <c r="B243" s="6"/>
      <c r="D243" s="6"/>
    </row>
    <row r="244" ht="15.75" customHeight="1">
      <c r="B244" s="6"/>
      <c r="D244" s="6"/>
    </row>
    <row r="245" ht="15.75" customHeight="1">
      <c r="B245" s="6"/>
      <c r="D245" s="6"/>
    </row>
    <row r="246" ht="15.75" customHeight="1">
      <c r="B246" s="6"/>
      <c r="D246" s="6"/>
    </row>
    <row r="247" ht="15.75" customHeight="1">
      <c r="B247" s="6"/>
      <c r="D247" s="6"/>
    </row>
    <row r="248" ht="15.75" customHeight="1">
      <c r="B248" s="6"/>
      <c r="D248" s="6"/>
    </row>
    <row r="249" ht="15.75" customHeight="1">
      <c r="B249" s="6"/>
      <c r="D249" s="6"/>
    </row>
    <row r="250" ht="15.75" customHeight="1">
      <c r="B250" s="6"/>
      <c r="D250" s="6"/>
    </row>
    <row r="251" ht="15.75" customHeight="1">
      <c r="B251" s="6"/>
      <c r="D251" s="6"/>
    </row>
    <row r="252" ht="15.75" customHeight="1">
      <c r="B252" s="6"/>
      <c r="D252" s="6"/>
    </row>
    <row r="253" ht="15.75" customHeight="1">
      <c r="B253" s="6"/>
      <c r="D253" s="6"/>
    </row>
    <row r="254" ht="15.75" customHeight="1">
      <c r="B254" s="6"/>
      <c r="D254" s="6"/>
    </row>
    <row r="255" ht="15.75" customHeight="1">
      <c r="B255" s="6"/>
      <c r="D255" s="6"/>
    </row>
    <row r="256" ht="15.75" customHeight="1">
      <c r="B256" s="6"/>
      <c r="D256" s="6"/>
    </row>
    <row r="257" ht="15.75" customHeight="1">
      <c r="B257" s="6"/>
      <c r="D257" s="6"/>
    </row>
    <row r="258" ht="15.75" customHeight="1">
      <c r="B258" s="6"/>
      <c r="D258" s="6"/>
    </row>
    <row r="259" ht="15.75" customHeight="1">
      <c r="B259" s="6"/>
      <c r="D259" s="6"/>
    </row>
    <row r="260" ht="15.75" customHeight="1">
      <c r="B260" s="6"/>
      <c r="D260" s="6"/>
    </row>
    <row r="261" ht="15.75" customHeight="1">
      <c r="B261" s="6"/>
      <c r="D261" s="6"/>
    </row>
    <row r="262" ht="15.75" customHeight="1">
      <c r="B262" s="6"/>
      <c r="D262" s="6"/>
    </row>
    <row r="263" ht="15.75" customHeight="1">
      <c r="B263" s="6"/>
      <c r="D263" s="6"/>
    </row>
    <row r="264" ht="15.75" customHeight="1">
      <c r="B264" s="6"/>
      <c r="D264" s="6"/>
    </row>
    <row r="265" ht="15.75" customHeight="1">
      <c r="B265" s="6"/>
      <c r="D265" s="6"/>
    </row>
    <row r="266" ht="15.75" customHeight="1">
      <c r="B266" s="6"/>
      <c r="D266" s="6"/>
    </row>
    <row r="267" ht="15.75" customHeight="1">
      <c r="B267" s="6"/>
      <c r="D267" s="6"/>
    </row>
    <row r="268" ht="15.75" customHeight="1">
      <c r="B268" s="6"/>
      <c r="D268" s="6"/>
    </row>
    <row r="269" ht="15.75" customHeight="1">
      <c r="B269" s="6"/>
      <c r="D269" s="6"/>
    </row>
    <row r="270" ht="15.75" customHeight="1">
      <c r="B270" s="6"/>
      <c r="D270" s="6"/>
    </row>
    <row r="271" ht="15.75" customHeight="1">
      <c r="B271" s="6"/>
      <c r="D271" s="6"/>
    </row>
    <row r="272" ht="15.75" customHeight="1">
      <c r="B272" s="6"/>
      <c r="D272" s="6"/>
    </row>
    <row r="273" ht="15.75" customHeight="1">
      <c r="B273" s="6"/>
      <c r="D273" s="6"/>
    </row>
    <row r="274" ht="15.75" customHeight="1">
      <c r="B274" s="6"/>
      <c r="D274" s="6"/>
    </row>
    <row r="275" ht="15.75" customHeight="1">
      <c r="B275" s="6"/>
      <c r="D275" s="6"/>
    </row>
    <row r="276" ht="15.75" customHeight="1">
      <c r="B276" s="6"/>
      <c r="D276" s="6"/>
    </row>
    <row r="277" ht="15.75" customHeight="1">
      <c r="B277" s="6"/>
      <c r="D277" s="6"/>
    </row>
    <row r="278" ht="15.75" customHeight="1">
      <c r="B278" s="6"/>
      <c r="D278" s="6"/>
    </row>
    <row r="279" ht="15.75" customHeight="1">
      <c r="B279" s="6"/>
      <c r="D279" s="6"/>
    </row>
    <row r="280" ht="15.75" customHeight="1">
      <c r="B280" s="6"/>
      <c r="D280" s="6"/>
    </row>
    <row r="281" ht="15.75" customHeight="1">
      <c r="B281" s="6"/>
      <c r="D281" s="6"/>
    </row>
    <row r="282" ht="15.75" customHeight="1">
      <c r="B282" s="6"/>
      <c r="D282" s="6"/>
    </row>
    <row r="283" ht="15.75" customHeight="1">
      <c r="B283" s="6"/>
      <c r="D283" s="6"/>
    </row>
    <row r="284" ht="15.75" customHeight="1">
      <c r="B284" s="6"/>
      <c r="D284" s="6"/>
    </row>
    <row r="285" ht="15.75" customHeight="1">
      <c r="B285" s="6"/>
      <c r="D285" s="6"/>
    </row>
    <row r="286" ht="15.75" customHeight="1">
      <c r="B286" s="6"/>
      <c r="D286" s="6"/>
    </row>
    <row r="287" ht="15.75" customHeight="1">
      <c r="B287" s="6"/>
      <c r="D287" s="6"/>
    </row>
    <row r="288" ht="15.75" customHeight="1">
      <c r="B288" s="6"/>
      <c r="D288" s="6"/>
    </row>
    <row r="289" ht="15.75" customHeight="1">
      <c r="B289" s="6"/>
      <c r="D289" s="6"/>
    </row>
    <row r="290" ht="15.75" customHeight="1">
      <c r="B290" s="6"/>
      <c r="D290" s="6"/>
    </row>
    <row r="291" ht="15.75" customHeight="1">
      <c r="B291" s="6"/>
      <c r="D291" s="6"/>
    </row>
    <row r="292" ht="15.75" customHeight="1">
      <c r="B292" s="6"/>
      <c r="D292" s="6"/>
    </row>
    <row r="293" ht="15.75" customHeight="1">
      <c r="B293" s="6"/>
      <c r="D293" s="6"/>
    </row>
    <row r="294" ht="15.75" customHeight="1">
      <c r="B294" s="6"/>
      <c r="D294" s="6"/>
    </row>
    <row r="295" ht="15.75" customHeight="1">
      <c r="B295" s="6"/>
      <c r="D295" s="6"/>
    </row>
    <row r="296" ht="15.75" customHeight="1">
      <c r="B296" s="6"/>
      <c r="D296" s="6"/>
    </row>
    <row r="297" ht="15.75" customHeight="1">
      <c r="B297" s="6"/>
      <c r="D297" s="6"/>
    </row>
    <row r="298" ht="15.75" customHeight="1">
      <c r="B298" s="6"/>
      <c r="D298" s="6"/>
    </row>
    <row r="299" ht="15.75" customHeight="1">
      <c r="B299" s="6"/>
      <c r="D299" s="6"/>
    </row>
    <row r="300" ht="15.75" customHeight="1">
      <c r="B300" s="6"/>
      <c r="D300" s="6"/>
    </row>
    <row r="301" ht="15.75" customHeight="1">
      <c r="B301" s="6"/>
      <c r="D301" s="6"/>
    </row>
    <row r="302" ht="15.75" customHeight="1">
      <c r="B302" s="6"/>
      <c r="D302" s="6"/>
    </row>
    <row r="303" ht="15.75" customHeight="1">
      <c r="B303" s="6"/>
      <c r="D303" s="6"/>
    </row>
    <row r="304" ht="15.75" customHeight="1">
      <c r="B304" s="6"/>
      <c r="D304" s="6"/>
    </row>
    <row r="305" ht="15.75" customHeight="1">
      <c r="B305" s="6"/>
      <c r="D305" s="6"/>
    </row>
    <row r="306" ht="15.75" customHeight="1">
      <c r="B306" s="6"/>
      <c r="D306" s="6"/>
    </row>
    <row r="307" ht="15.75" customHeight="1">
      <c r="B307" s="6"/>
      <c r="D307" s="6"/>
    </row>
    <row r="308" ht="15.75" customHeight="1">
      <c r="B308" s="6"/>
      <c r="D308" s="6"/>
    </row>
    <row r="309" ht="15.75" customHeight="1">
      <c r="B309" s="6"/>
      <c r="D309" s="6"/>
    </row>
    <row r="310" ht="15.75" customHeight="1">
      <c r="B310" s="6"/>
      <c r="D310" s="6"/>
    </row>
    <row r="311" ht="15.75" customHeight="1">
      <c r="B311" s="6"/>
      <c r="D311" s="6"/>
    </row>
    <row r="312" ht="15.75" customHeight="1">
      <c r="B312" s="6"/>
      <c r="D312" s="6"/>
    </row>
    <row r="313" ht="15.75" customHeight="1">
      <c r="B313" s="6"/>
      <c r="D313" s="6"/>
    </row>
    <row r="314" ht="15.75" customHeight="1">
      <c r="B314" s="6"/>
      <c r="D314" s="6"/>
    </row>
    <row r="315" ht="15.75" customHeight="1">
      <c r="B315" s="6"/>
      <c r="D315" s="6"/>
    </row>
    <row r="316" ht="15.75" customHeight="1">
      <c r="B316" s="6"/>
      <c r="D316" s="6"/>
    </row>
    <row r="317" ht="15.75" customHeight="1">
      <c r="B317" s="6"/>
      <c r="D317" s="6"/>
    </row>
    <row r="318" ht="15.75" customHeight="1">
      <c r="B318" s="6"/>
      <c r="D318" s="6"/>
    </row>
    <row r="319" ht="15.75" customHeight="1">
      <c r="B319" s="6"/>
      <c r="D319" s="6"/>
    </row>
    <row r="320" ht="15.75" customHeight="1">
      <c r="B320" s="6"/>
      <c r="D320" s="6"/>
    </row>
    <row r="321" ht="15.75" customHeight="1">
      <c r="B321" s="6"/>
      <c r="D321" s="6"/>
    </row>
    <row r="322" ht="15.75" customHeight="1">
      <c r="B322" s="6"/>
      <c r="D322" s="6"/>
    </row>
    <row r="323" ht="15.75" customHeight="1">
      <c r="B323" s="6"/>
      <c r="D323" s="6"/>
    </row>
    <row r="324" ht="15.75" customHeight="1">
      <c r="B324" s="6"/>
      <c r="D324" s="6"/>
    </row>
    <row r="325" ht="15.75" customHeight="1">
      <c r="B325" s="6"/>
      <c r="D325" s="6"/>
    </row>
    <row r="326" ht="15.75" customHeight="1">
      <c r="B326" s="6"/>
      <c r="D326" s="6"/>
    </row>
    <row r="327" ht="15.75" customHeight="1">
      <c r="B327" s="6"/>
      <c r="D327" s="6"/>
    </row>
    <row r="328" ht="15.75" customHeight="1">
      <c r="B328" s="6"/>
      <c r="D328" s="6"/>
    </row>
    <row r="329" ht="15.75" customHeight="1">
      <c r="B329" s="6"/>
      <c r="D329" s="6"/>
    </row>
    <row r="330" ht="15.75" customHeight="1">
      <c r="B330" s="6"/>
      <c r="D330" s="6"/>
    </row>
    <row r="331" ht="15.75" customHeight="1">
      <c r="B331" s="6"/>
      <c r="D331" s="6"/>
    </row>
    <row r="332" ht="15.75" customHeight="1">
      <c r="B332" s="6"/>
      <c r="D332" s="6"/>
    </row>
    <row r="333" ht="15.75" customHeight="1">
      <c r="B333" s="6"/>
      <c r="D333" s="6"/>
    </row>
    <row r="334" ht="15.75" customHeight="1">
      <c r="B334" s="6"/>
      <c r="D334" s="6"/>
    </row>
    <row r="335" ht="15.75" customHeight="1">
      <c r="B335" s="6"/>
      <c r="D335" s="6"/>
    </row>
    <row r="336" ht="15.75" customHeight="1">
      <c r="B336" s="6"/>
      <c r="D336" s="6"/>
    </row>
    <row r="337" ht="15.75" customHeight="1">
      <c r="B337" s="6"/>
      <c r="D337" s="6"/>
    </row>
    <row r="338" ht="15.75" customHeight="1">
      <c r="B338" s="6"/>
      <c r="D338" s="6"/>
    </row>
    <row r="339" ht="15.75" customHeight="1">
      <c r="B339" s="6"/>
      <c r="D339" s="6"/>
    </row>
    <row r="340" ht="15.75" customHeight="1">
      <c r="B340" s="6"/>
      <c r="D340" s="6"/>
    </row>
    <row r="341" ht="15.75" customHeight="1">
      <c r="B341" s="6"/>
      <c r="D341" s="6"/>
    </row>
    <row r="342" ht="15.75" customHeight="1">
      <c r="B342" s="6"/>
      <c r="D342" s="6"/>
    </row>
    <row r="343" ht="15.75" customHeight="1">
      <c r="B343" s="6"/>
      <c r="D343" s="6"/>
    </row>
    <row r="344" ht="15.75" customHeight="1">
      <c r="B344" s="6"/>
      <c r="D344" s="6"/>
    </row>
    <row r="345" ht="15.75" customHeight="1">
      <c r="B345" s="6"/>
      <c r="D345" s="6"/>
    </row>
    <row r="346" ht="15.75" customHeight="1">
      <c r="B346" s="6"/>
      <c r="D346" s="6"/>
    </row>
    <row r="347" ht="15.75" customHeight="1">
      <c r="B347" s="6"/>
      <c r="D347" s="6"/>
    </row>
    <row r="348" ht="15.75" customHeight="1">
      <c r="B348" s="6"/>
      <c r="D348" s="6"/>
    </row>
    <row r="349" ht="15.75" customHeight="1">
      <c r="B349" s="6"/>
      <c r="D349" s="6"/>
    </row>
    <row r="350" ht="15.75" customHeight="1">
      <c r="B350" s="6"/>
      <c r="D350" s="6"/>
    </row>
    <row r="351" ht="15.75" customHeight="1">
      <c r="B351" s="6"/>
      <c r="D351" s="6"/>
    </row>
    <row r="352" ht="15.75" customHeight="1">
      <c r="B352" s="6"/>
      <c r="D352" s="6"/>
    </row>
    <row r="353" ht="15.75" customHeight="1">
      <c r="B353" s="6"/>
      <c r="D353" s="6"/>
    </row>
    <row r="354" ht="15.75" customHeight="1">
      <c r="B354" s="6"/>
      <c r="D354" s="6"/>
    </row>
    <row r="355" ht="15.75" customHeight="1">
      <c r="B355" s="6"/>
      <c r="D355" s="6"/>
    </row>
    <row r="356" ht="15.75" customHeight="1">
      <c r="B356" s="6"/>
      <c r="D356" s="6"/>
    </row>
    <row r="357" ht="15.75" customHeight="1">
      <c r="B357" s="6"/>
      <c r="D357" s="6"/>
    </row>
    <row r="358" ht="15.75" customHeight="1">
      <c r="B358" s="6"/>
      <c r="D358" s="6"/>
    </row>
    <row r="359" ht="15.75" customHeight="1">
      <c r="B359" s="6"/>
      <c r="D359" s="6"/>
    </row>
    <row r="360" ht="15.75" customHeight="1">
      <c r="B360" s="6"/>
      <c r="D360" s="6"/>
    </row>
    <row r="361" ht="15.75" customHeight="1">
      <c r="B361" s="6"/>
      <c r="D361" s="6"/>
    </row>
    <row r="362" ht="15.75" customHeight="1">
      <c r="B362" s="6"/>
      <c r="D362" s="6"/>
    </row>
    <row r="363" ht="15.75" customHeight="1">
      <c r="B363" s="6"/>
      <c r="D363" s="6"/>
    </row>
    <row r="364" ht="15.75" customHeight="1">
      <c r="B364" s="6"/>
      <c r="D364" s="6"/>
    </row>
    <row r="365" ht="15.75" customHeight="1">
      <c r="B365" s="6"/>
      <c r="D365" s="6"/>
    </row>
    <row r="366" ht="15.75" customHeight="1">
      <c r="B366" s="6"/>
      <c r="D366" s="6"/>
    </row>
    <row r="367" ht="15.75" customHeight="1">
      <c r="B367" s="6"/>
      <c r="D367" s="6"/>
    </row>
    <row r="368" ht="15.75" customHeight="1">
      <c r="B368" s="6"/>
      <c r="D368" s="6"/>
    </row>
    <row r="369" ht="15.75" customHeight="1">
      <c r="B369" s="6"/>
      <c r="D369" s="6"/>
    </row>
    <row r="370" ht="15.75" customHeight="1">
      <c r="B370" s="6"/>
      <c r="D370" s="6"/>
    </row>
    <row r="371" ht="15.75" customHeight="1">
      <c r="B371" s="6"/>
      <c r="D371" s="6"/>
    </row>
    <row r="372" ht="15.75" customHeight="1">
      <c r="B372" s="6"/>
      <c r="D372" s="6"/>
    </row>
    <row r="373" ht="15.75" customHeight="1">
      <c r="B373" s="6"/>
      <c r="D373" s="6"/>
    </row>
    <row r="374" ht="15.75" customHeight="1">
      <c r="B374" s="6"/>
      <c r="D374" s="6"/>
    </row>
    <row r="375" ht="15.75" customHeight="1">
      <c r="B375" s="6"/>
      <c r="D375" s="6"/>
    </row>
    <row r="376" ht="15.75" customHeight="1">
      <c r="B376" s="6"/>
      <c r="D376" s="6"/>
    </row>
    <row r="377" ht="15.75" customHeight="1">
      <c r="B377" s="6"/>
      <c r="D377" s="6"/>
    </row>
    <row r="378" ht="15.75" customHeight="1">
      <c r="B378" s="6"/>
      <c r="D378" s="6"/>
    </row>
    <row r="379" ht="15.75" customHeight="1">
      <c r="B379" s="6"/>
      <c r="D379" s="6"/>
    </row>
    <row r="380" ht="15.75" customHeight="1">
      <c r="B380" s="6"/>
      <c r="D380" s="6"/>
    </row>
    <row r="381" ht="15.75" customHeight="1">
      <c r="B381" s="6"/>
      <c r="D381" s="6"/>
    </row>
    <row r="382" ht="15.75" customHeight="1">
      <c r="B382" s="6"/>
      <c r="D382" s="6"/>
    </row>
    <row r="383" ht="15.75" customHeight="1">
      <c r="B383" s="6"/>
      <c r="D383" s="6"/>
    </row>
    <row r="384" ht="15.75" customHeight="1">
      <c r="B384" s="6"/>
      <c r="D384" s="6"/>
    </row>
    <row r="385" ht="15.75" customHeight="1">
      <c r="B385" s="6"/>
      <c r="D385" s="6"/>
    </row>
    <row r="386" ht="15.75" customHeight="1">
      <c r="B386" s="6"/>
      <c r="D386" s="6"/>
    </row>
    <row r="387" ht="15.75" customHeight="1">
      <c r="B387" s="6"/>
      <c r="D387" s="6"/>
    </row>
    <row r="388" ht="15.75" customHeight="1">
      <c r="B388" s="6"/>
      <c r="D388" s="6"/>
    </row>
    <row r="389" ht="15.75" customHeight="1">
      <c r="B389" s="6"/>
      <c r="D389" s="6"/>
    </row>
    <row r="390" ht="15.75" customHeight="1">
      <c r="B390" s="6"/>
      <c r="D390" s="6"/>
    </row>
    <row r="391" ht="15.75" customHeight="1">
      <c r="B391" s="6"/>
      <c r="D391" s="6"/>
    </row>
    <row r="392" ht="15.75" customHeight="1">
      <c r="B392" s="6"/>
      <c r="D392" s="6"/>
    </row>
    <row r="393" ht="15.75" customHeight="1">
      <c r="B393" s="6"/>
      <c r="D393" s="6"/>
    </row>
    <row r="394" ht="15.75" customHeight="1">
      <c r="B394" s="6"/>
      <c r="D394" s="6"/>
    </row>
    <row r="395" ht="15.75" customHeight="1">
      <c r="B395" s="6"/>
      <c r="D395" s="6"/>
    </row>
    <row r="396" ht="15.75" customHeight="1">
      <c r="B396" s="6"/>
      <c r="D396" s="6"/>
    </row>
    <row r="397" ht="15.75" customHeight="1">
      <c r="B397" s="6"/>
      <c r="D397" s="6"/>
    </row>
    <row r="398" ht="15.75" customHeight="1">
      <c r="B398" s="6"/>
      <c r="D398" s="6"/>
    </row>
    <row r="399" ht="15.75" customHeight="1">
      <c r="B399" s="6"/>
      <c r="D399" s="6"/>
    </row>
    <row r="400" ht="15.75" customHeight="1">
      <c r="B400" s="6"/>
      <c r="D400" s="6"/>
    </row>
    <row r="401" ht="15.75" customHeight="1">
      <c r="B401" s="6"/>
      <c r="D401" s="6"/>
    </row>
    <row r="402" ht="15.75" customHeight="1">
      <c r="B402" s="6"/>
      <c r="D402" s="6"/>
    </row>
    <row r="403" ht="15.75" customHeight="1">
      <c r="B403" s="6"/>
      <c r="D403" s="6"/>
    </row>
    <row r="404" ht="15.75" customHeight="1">
      <c r="B404" s="6"/>
      <c r="D404" s="6"/>
    </row>
    <row r="405" ht="15.75" customHeight="1">
      <c r="B405" s="6"/>
      <c r="D405" s="6"/>
    </row>
    <row r="406" ht="15.75" customHeight="1">
      <c r="B406" s="6"/>
      <c r="D406" s="6"/>
    </row>
    <row r="407" ht="15.75" customHeight="1">
      <c r="B407" s="6"/>
      <c r="D407" s="6"/>
    </row>
    <row r="408" ht="15.75" customHeight="1">
      <c r="B408" s="6"/>
      <c r="D408" s="6"/>
    </row>
    <row r="409" ht="15.75" customHeight="1">
      <c r="B409" s="6"/>
      <c r="D409" s="6"/>
    </row>
    <row r="410" ht="15.75" customHeight="1">
      <c r="B410" s="6"/>
      <c r="D410" s="6"/>
    </row>
    <row r="411" ht="15.75" customHeight="1">
      <c r="B411" s="6"/>
      <c r="D411" s="6"/>
    </row>
    <row r="412" ht="15.75" customHeight="1">
      <c r="B412" s="6"/>
      <c r="D412" s="6"/>
    </row>
    <row r="413" ht="15.75" customHeight="1">
      <c r="B413" s="6"/>
      <c r="D413" s="6"/>
    </row>
    <row r="414" ht="15.75" customHeight="1">
      <c r="B414" s="6"/>
      <c r="D414" s="6"/>
    </row>
    <row r="415" ht="15.75" customHeight="1">
      <c r="B415" s="6"/>
      <c r="D415" s="6"/>
    </row>
    <row r="416" ht="15.75" customHeight="1">
      <c r="B416" s="6"/>
      <c r="D416" s="6"/>
    </row>
    <row r="417" ht="15.75" customHeight="1">
      <c r="B417" s="6"/>
      <c r="D417" s="6"/>
    </row>
    <row r="418" ht="15.75" customHeight="1">
      <c r="B418" s="6"/>
      <c r="D418" s="6"/>
    </row>
    <row r="419" ht="15.75" customHeight="1">
      <c r="B419" s="6"/>
      <c r="D419" s="6"/>
    </row>
    <row r="420" ht="15.75" customHeight="1">
      <c r="B420" s="6"/>
      <c r="D420" s="6"/>
    </row>
    <row r="421" ht="15.75" customHeight="1">
      <c r="B421" s="6"/>
      <c r="D421" s="6"/>
    </row>
    <row r="422" ht="15.75" customHeight="1">
      <c r="B422" s="6"/>
      <c r="D422" s="6"/>
    </row>
    <row r="423" ht="15.75" customHeight="1">
      <c r="B423" s="6"/>
      <c r="D423" s="6"/>
    </row>
    <row r="424" ht="15.75" customHeight="1">
      <c r="B424" s="6"/>
      <c r="D424" s="6"/>
    </row>
    <row r="425" ht="15.75" customHeight="1">
      <c r="B425" s="6"/>
      <c r="D425" s="6"/>
    </row>
    <row r="426" ht="15.75" customHeight="1">
      <c r="B426" s="6"/>
      <c r="D426" s="6"/>
    </row>
    <row r="427" ht="15.75" customHeight="1">
      <c r="B427" s="6"/>
      <c r="D427" s="6"/>
    </row>
    <row r="428" ht="15.75" customHeight="1">
      <c r="B428" s="6"/>
      <c r="D428" s="6"/>
    </row>
    <row r="429" ht="15.75" customHeight="1">
      <c r="B429" s="6"/>
      <c r="D429" s="6"/>
    </row>
    <row r="430" ht="15.75" customHeight="1">
      <c r="B430" s="6"/>
      <c r="D430" s="6"/>
    </row>
    <row r="431" ht="15.75" customHeight="1">
      <c r="B431" s="6"/>
      <c r="D431" s="6"/>
    </row>
    <row r="432" ht="15.75" customHeight="1">
      <c r="B432" s="6"/>
      <c r="D432" s="6"/>
    </row>
    <row r="433" ht="15.75" customHeight="1">
      <c r="B433" s="6"/>
      <c r="D433" s="6"/>
    </row>
    <row r="434" ht="15.75" customHeight="1">
      <c r="B434" s="6"/>
      <c r="D434" s="6"/>
    </row>
    <row r="435" ht="15.75" customHeight="1">
      <c r="B435" s="6"/>
      <c r="D435" s="6"/>
    </row>
    <row r="436" ht="15.75" customHeight="1">
      <c r="B436" s="6"/>
      <c r="D436" s="6"/>
    </row>
    <row r="437" ht="15.75" customHeight="1">
      <c r="B437" s="6"/>
      <c r="D437" s="6"/>
    </row>
    <row r="438" ht="15.75" customHeight="1">
      <c r="B438" s="6"/>
      <c r="D438" s="6"/>
    </row>
    <row r="439" ht="15.75" customHeight="1">
      <c r="B439" s="6"/>
      <c r="D439" s="6"/>
    </row>
    <row r="440" ht="15.75" customHeight="1">
      <c r="B440" s="6"/>
      <c r="D440" s="6"/>
    </row>
    <row r="441" ht="15.75" customHeight="1">
      <c r="B441" s="6"/>
      <c r="D441" s="6"/>
    </row>
    <row r="442" ht="15.75" customHeight="1">
      <c r="B442" s="6"/>
      <c r="D442" s="6"/>
    </row>
    <row r="443" ht="15.75" customHeight="1">
      <c r="B443" s="6"/>
      <c r="D443" s="6"/>
    </row>
    <row r="444" ht="15.75" customHeight="1">
      <c r="B444" s="6"/>
      <c r="D444" s="6"/>
    </row>
    <row r="445" ht="15.75" customHeight="1">
      <c r="B445" s="6"/>
      <c r="D445" s="6"/>
    </row>
    <row r="446" ht="15.75" customHeight="1">
      <c r="B446" s="6"/>
      <c r="D446" s="6"/>
    </row>
    <row r="447" ht="15.75" customHeight="1">
      <c r="B447" s="6"/>
      <c r="D447" s="6"/>
    </row>
    <row r="448" ht="15.75" customHeight="1">
      <c r="B448" s="6"/>
      <c r="D448" s="6"/>
    </row>
    <row r="449" ht="15.75" customHeight="1">
      <c r="B449" s="6"/>
      <c r="D449" s="6"/>
    </row>
    <row r="450" ht="15.75" customHeight="1">
      <c r="B450" s="6"/>
      <c r="D450" s="6"/>
    </row>
    <row r="451" ht="15.75" customHeight="1">
      <c r="B451" s="6"/>
      <c r="D451" s="6"/>
    </row>
    <row r="452" ht="15.75" customHeight="1">
      <c r="B452" s="6"/>
      <c r="D452" s="6"/>
    </row>
    <row r="453" ht="15.75" customHeight="1">
      <c r="B453" s="6"/>
      <c r="D453" s="6"/>
    </row>
    <row r="454" ht="15.75" customHeight="1">
      <c r="B454" s="6"/>
      <c r="D454" s="6"/>
    </row>
    <row r="455" ht="15.75" customHeight="1">
      <c r="B455" s="6"/>
      <c r="D455" s="6"/>
    </row>
    <row r="456" ht="15.75" customHeight="1">
      <c r="B456" s="6"/>
      <c r="D456" s="6"/>
    </row>
    <row r="457" ht="15.75" customHeight="1">
      <c r="B457" s="6"/>
      <c r="D457" s="6"/>
    </row>
    <row r="458" ht="15.75" customHeight="1">
      <c r="B458" s="6"/>
      <c r="D458" s="6"/>
    </row>
    <row r="459" ht="15.75" customHeight="1">
      <c r="B459" s="6"/>
      <c r="D459" s="6"/>
    </row>
    <row r="460" ht="15.75" customHeight="1">
      <c r="B460" s="6"/>
      <c r="D460" s="6"/>
    </row>
    <row r="461" ht="15.75" customHeight="1">
      <c r="B461" s="6"/>
      <c r="D461" s="6"/>
    </row>
    <row r="462" ht="15.75" customHeight="1">
      <c r="B462" s="6"/>
      <c r="D462" s="6"/>
    </row>
    <row r="463" ht="15.75" customHeight="1">
      <c r="B463" s="6"/>
      <c r="D463" s="6"/>
    </row>
    <row r="464" ht="15.75" customHeight="1">
      <c r="B464" s="6"/>
      <c r="D464" s="6"/>
    </row>
    <row r="465" ht="15.75" customHeight="1">
      <c r="B465" s="6"/>
      <c r="D465" s="6"/>
    </row>
    <row r="466" ht="15.75" customHeight="1">
      <c r="B466" s="6"/>
      <c r="D466" s="6"/>
    </row>
    <row r="467" ht="15.75" customHeight="1">
      <c r="B467" s="6"/>
      <c r="D467" s="6"/>
    </row>
    <row r="468" ht="15.75" customHeight="1">
      <c r="B468" s="6"/>
      <c r="D468" s="6"/>
    </row>
    <row r="469" ht="15.75" customHeight="1">
      <c r="B469" s="6"/>
      <c r="D469" s="6"/>
    </row>
    <row r="470" ht="15.75" customHeight="1">
      <c r="B470" s="6"/>
      <c r="D470" s="6"/>
    </row>
    <row r="471" ht="15.75" customHeight="1">
      <c r="B471" s="6"/>
      <c r="D471" s="6"/>
    </row>
    <row r="472" ht="15.75" customHeight="1">
      <c r="B472" s="6"/>
      <c r="D472" s="6"/>
    </row>
    <row r="473" ht="15.75" customHeight="1">
      <c r="B473" s="6"/>
      <c r="D473" s="6"/>
    </row>
    <row r="474" ht="15.75" customHeight="1">
      <c r="B474" s="6"/>
      <c r="D474" s="6"/>
    </row>
    <row r="475" ht="15.75" customHeight="1">
      <c r="B475" s="6"/>
      <c r="D475" s="6"/>
    </row>
    <row r="476" ht="15.75" customHeight="1">
      <c r="B476" s="6"/>
      <c r="D476" s="6"/>
    </row>
    <row r="477" ht="15.75" customHeight="1">
      <c r="B477" s="6"/>
      <c r="D477" s="6"/>
    </row>
    <row r="478" ht="15.75" customHeight="1">
      <c r="B478" s="6"/>
      <c r="D478" s="6"/>
    </row>
    <row r="479" ht="15.75" customHeight="1">
      <c r="B479" s="6"/>
      <c r="D479" s="6"/>
    </row>
    <row r="480" ht="15.75" customHeight="1">
      <c r="B480" s="6"/>
      <c r="D480" s="6"/>
    </row>
    <row r="481" ht="15.75" customHeight="1">
      <c r="B481" s="6"/>
      <c r="D481" s="6"/>
    </row>
    <row r="482" ht="15.75" customHeight="1">
      <c r="B482" s="6"/>
      <c r="D482" s="6"/>
    </row>
    <row r="483" ht="15.75" customHeight="1">
      <c r="B483" s="6"/>
      <c r="D483" s="6"/>
    </row>
    <row r="484" ht="15.75" customHeight="1">
      <c r="B484" s="6"/>
      <c r="D484" s="6"/>
    </row>
    <row r="485" ht="15.75" customHeight="1">
      <c r="B485" s="6"/>
      <c r="D485" s="6"/>
    </row>
    <row r="486" ht="15.75" customHeight="1">
      <c r="B486" s="6"/>
      <c r="D486" s="6"/>
    </row>
    <row r="487" ht="15.75" customHeight="1">
      <c r="B487" s="6"/>
      <c r="D487" s="6"/>
    </row>
    <row r="488" ht="15.75" customHeight="1">
      <c r="B488" s="6"/>
      <c r="D488" s="6"/>
    </row>
    <row r="489" ht="15.75" customHeight="1">
      <c r="B489" s="6"/>
      <c r="D489" s="6"/>
    </row>
    <row r="490" ht="15.75" customHeight="1">
      <c r="B490" s="6"/>
      <c r="D490" s="6"/>
    </row>
    <row r="491" ht="15.75" customHeight="1">
      <c r="B491" s="6"/>
      <c r="D491" s="6"/>
    </row>
    <row r="492" ht="15.75" customHeight="1">
      <c r="B492" s="6"/>
      <c r="D492" s="6"/>
    </row>
    <row r="493" ht="15.75" customHeight="1">
      <c r="B493" s="6"/>
      <c r="D493" s="6"/>
    </row>
    <row r="494" ht="15.75" customHeight="1">
      <c r="B494" s="6"/>
      <c r="D494" s="6"/>
    </row>
    <row r="495" ht="15.75" customHeight="1">
      <c r="B495" s="6"/>
      <c r="D495" s="6"/>
    </row>
    <row r="496" ht="15.75" customHeight="1">
      <c r="B496" s="6"/>
      <c r="D496" s="6"/>
    </row>
    <row r="497" ht="15.75" customHeight="1">
      <c r="B497" s="6"/>
      <c r="D497" s="6"/>
    </row>
    <row r="498" ht="15.75" customHeight="1">
      <c r="B498" s="6"/>
      <c r="D498" s="6"/>
    </row>
    <row r="499" ht="15.75" customHeight="1">
      <c r="B499" s="6"/>
      <c r="D499" s="6"/>
    </row>
    <row r="500" ht="15.75" customHeight="1">
      <c r="B500" s="6"/>
      <c r="D500" s="6"/>
    </row>
    <row r="501" ht="15.75" customHeight="1">
      <c r="B501" s="6"/>
      <c r="D501" s="6"/>
    </row>
    <row r="502" ht="15.75" customHeight="1">
      <c r="B502" s="6"/>
      <c r="D502" s="6"/>
    </row>
    <row r="503" ht="15.75" customHeight="1">
      <c r="B503" s="6"/>
      <c r="D503" s="6"/>
    </row>
    <row r="504" ht="15.75" customHeight="1">
      <c r="B504" s="6"/>
      <c r="D504" s="6"/>
    </row>
    <row r="505" ht="15.75" customHeight="1">
      <c r="B505" s="6"/>
      <c r="D505" s="6"/>
    </row>
    <row r="506" ht="15.75" customHeight="1">
      <c r="B506" s="6"/>
      <c r="D506" s="6"/>
    </row>
    <row r="507" ht="15.75" customHeight="1">
      <c r="B507" s="6"/>
      <c r="D507" s="6"/>
    </row>
    <row r="508" ht="15.75" customHeight="1">
      <c r="B508" s="6"/>
      <c r="D508" s="6"/>
    </row>
    <row r="509" ht="15.75" customHeight="1">
      <c r="B509" s="6"/>
      <c r="D509" s="6"/>
    </row>
    <row r="510" ht="15.75" customHeight="1">
      <c r="B510" s="6"/>
      <c r="D510" s="6"/>
    </row>
    <row r="511" ht="15.75" customHeight="1">
      <c r="B511" s="6"/>
      <c r="D511" s="6"/>
    </row>
    <row r="512" ht="15.75" customHeight="1">
      <c r="B512" s="6"/>
      <c r="D512" s="6"/>
    </row>
    <row r="513" ht="15.75" customHeight="1">
      <c r="B513" s="6"/>
      <c r="D513" s="6"/>
    </row>
    <row r="514" ht="15.75" customHeight="1">
      <c r="B514" s="6"/>
      <c r="D514" s="6"/>
    </row>
    <row r="515" ht="15.75" customHeight="1">
      <c r="B515" s="6"/>
      <c r="D515" s="6"/>
    </row>
    <row r="516" ht="15.75" customHeight="1">
      <c r="B516" s="6"/>
      <c r="D516" s="6"/>
    </row>
    <row r="517" ht="15.75" customHeight="1">
      <c r="B517" s="6"/>
      <c r="D517" s="6"/>
    </row>
    <row r="518" ht="15.75" customHeight="1">
      <c r="B518" s="6"/>
      <c r="D518" s="6"/>
    </row>
    <row r="519" ht="15.75" customHeight="1">
      <c r="B519" s="6"/>
      <c r="D519" s="6"/>
    </row>
    <row r="520" ht="15.75" customHeight="1">
      <c r="B520" s="6"/>
      <c r="D520" s="6"/>
    </row>
    <row r="521" ht="15.75" customHeight="1">
      <c r="B521" s="6"/>
      <c r="D521" s="6"/>
    </row>
    <row r="522" ht="15.75" customHeight="1">
      <c r="B522" s="6"/>
      <c r="D522" s="6"/>
    </row>
    <row r="523" ht="15.75" customHeight="1">
      <c r="B523" s="6"/>
      <c r="D523" s="6"/>
    </row>
    <row r="524" ht="15.75" customHeight="1">
      <c r="B524" s="6"/>
      <c r="D524" s="6"/>
    </row>
    <row r="525" ht="15.75" customHeight="1">
      <c r="B525" s="6"/>
      <c r="D525" s="6"/>
    </row>
    <row r="526" ht="15.75" customHeight="1">
      <c r="B526" s="6"/>
      <c r="D526" s="6"/>
    </row>
    <row r="527" ht="15.75" customHeight="1">
      <c r="B527" s="6"/>
      <c r="D527" s="6"/>
    </row>
    <row r="528" ht="15.75" customHeight="1">
      <c r="B528" s="6"/>
      <c r="D528" s="6"/>
    </row>
    <row r="529" ht="15.75" customHeight="1">
      <c r="B529" s="6"/>
      <c r="D529" s="6"/>
    </row>
    <row r="530" ht="15.75" customHeight="1">
      <c r="B530" s="6"/>
      <c r="D530" s="6"/>
    </row>
    <row r="531" ht="15.75" customHeight="1">
      <c r="B531" s="6"/>
      <c r="D531" s="6"/>
    </row>
    <row r="532" ht="15.75" customHeight="1">
      <c r="B532" s="6"/>
      <c r="D532" s="6"/>
    </row>
    <row r="533" ht="15.75" customHeight="1">
      <c r="B533" s="6"/>
      <c r="D533" s="6"/>
    </row>
    <row r="534" ht="15.75" customHeight="1">
      <c r="B534" s="6"/>
      <c r="D534" s="6"/>
    </row>
    <row r="535" ht="15.75" customHeight="1">
      <c r="B535" s="6"/>
      <c r="D535" s="6"/>
    </row>
    <row r="536" ht="15.75" customHeight="1">
      <c r="B536" s="6"/>
      <c r="D536" s="6"/>
    </row>
    <row r="537" ht="15.75" customHeight="1">
      <c r="B537" s="6"/>
      <c r="D537" s="6"/>
    </row>
    <row r="538" ht="15.75" customHeight="1">
      <c r="B538" s="6"/>
      <c r="D538" s="6"/>
    </row>
    <row r="539" ht="15.75" customHeight="1">
      <c r="B539" s="6"/>
      <c r="D539" s="6"/>
    </row>
    <row r="540" ht="15.75" customHeight="1">
      <c r="B540" s="6"/>
      <c r="D540" s="6"/>
    </row>
    <row r="541" ht="15.75" customHeight="1">
      <c r="B541" s="6"/>
      <c r="D541" s="6"/>
    </row>
    <row r="542" ht="15.75" customHeight="1">
      <c r="B542" s="6"/>
      <c r="D542" s="6"/>
    </row>
    <row r="543" ht="15.75" customHeight="1">
      <c r="B543" s="6"/>
      <c r="D543" s="6"/>
    </row>
    <row r="544" ht="15.75" customHeight="1">
      <c r="B544" s="6"/>
      <c r="D544" s="6"/>
    </row>
    <row r="545" ht="15.75" customHeight="1">
      <c r="B545" s="6"/>
      <c r="D545" s="6"/>
    </row>
    <row r="546" ht="15.75" customHeight="1">
      <c r="B546" s="6"/>
      <c r="D546" s="6"/>
    </row>
    <row r="547" ht="15.75" customHeight="1">
      <c r="B547" s="6"/>
      <c r="D547" s="6"/>
    </row>
    <row r="548" ht="15.75" customHeight="1">
      <c r="B548" s="6"/>
      <c r="D548" s="6"/>
    </row>
    <row r="549" ht="15.75" customHeight="1">
      <c r="B549" s="6"/>
      <c r="D549" s="6"/>
    </row>
    <row r="550" ht="15.75" customHeight="1">
      <c r="B550" s="6"/>
      <c r="D550" s="6"/>
    </row>
    <row r="551" ht="15.75" customHeight="1">
      <c r="B551" s="6"/>
      <c r="D551" s="6"/>
    </row>
    <row r="552" ht="15.75" customHeight="1">
      <c r="B552" s="6"/>
      <c r="D552" s="6"/>
    </row>
    <row r="553" ht="15.75" customHeight="1">
      <c r="B553" s="6"/>
      <c r="D553" s="6"/>
    </row>
    <row r="554" ht="15.75" customHeight="1">
      <c r="B554" s="6"/>
      <c r="D554" s="6"/>
    </row>
    <row r="555" ht="15.75" customHeight="1">
      <c r="B555" s="6"/>
      <c r="D555" s="6"/>
    </row>
    <row r="556" ht="15.75" customHeight="1">
      <c r="B556" s="6"/>
      <c r="D556" s="6"/>
    </row>
    <row r="557" ht="15.75" customHeight="1">
      <c r="B557" s="6"/>
      <c r="D557" s="6"/>
    </row>
    <row r="558" ht="15.75" customHeight="1">
      <c r="B558" s="6"/>
      <c r="D558" s="6"/>
    </row>
    <row r="559" ht="15.75" customHeight="1">
      <c r="B559" s="6"/>
      <c r="D559" s="6"/>
    </row>
    <row r="560" ht="15.75" customHeight="1">
      <c r="B560" s="6"/>
      <c r="D560" s="6"/>
    </row>
    <row r="561" ht="15.75" customHeight="1">
      <c r="B561" s="6"/>
      <c r="D561" s="6"/>
    </row>
    <row r="562" ht="15.75" customHeight="1">
      <c r="B562" s="6"/>
      <c r="D562" s="6"/>
    </row>
    <row r="563" ht="15.75" customHeight="1">
      <c r="B563" s="6"/>
      <c r="D563" s="6"/>
    </row>
    <row r="564" ht="15.75" customHeight="1">
      <c r="B564" s="6"/>
      <c r="D564" s="6"/>
    </row>
    <row r="565" ht="15.75" customHeight="1">
      <c r="B565" s="6"/>
      <c r="D565" s="6"/>
    </row>
    <row r="566" ht="15.75" customHeight="1">
      <c r="B566" s="6"/>
      <c r="D566" s="6"/>
    </row>
    <row r="567" ht="15.75" customHeight="1">
      <c r="B567" s="6"/>
      <c r="D567" s="6"/>
    </row>
    <row r="568" ht="15.75" customHeight="1">
      <c r="B568" s="6"/>
      <c r="D568" s="6"/>
    </row>
    <row r="569" ht="15.75" customHeight="1">
      <c r="B569" s="6"/>
      <c r="D569" s="6"/>
    </row>
    <row r="570" ht="15.75" customHeight="1">
      <c r="B570" s="6"/>
      <c r="D570" s="6"/>
    </row>
    <row r="571" ht="15.75" customHeight="1">
      <c r="B571" s="6"/>
      <c r="D571" s="6"/>
    </row>
    <row r="572" ht="15.75" customHeight="1">
      <c r="B572" s="6"/>
      <c r="D572" s="6"/>
    </row>
    <row r="573" ht="15.75" customHeight="1">
      <c r="B573" s="6"/>
      <c r="D573" s="6"/>
    </row>
    <row r="574" ht="15.75" customHeight="1">
      <c r="B574" s="6"/>
      <c r="D574" s="6"/>
    </row>
    <row r="575" ht="15.75" customHeight="1">
      <c r="B575" s="6"/>
      <c r="D575" s="6"/>
    </row>
    <row r="576" ht="15.75" customHeight="1">
      <c r="B576" s="6"/>
      <c r="D576" s="6"/>
    </row>
    <row r="577" ht="15.75" customHeight="1">
      <c r="B577" s="6"/>
      <c r="D577" s="6"/>
    </row>
    <row r="578" ht="15.75" customHeight="1">
      <c r="B578" s="6"/>
      <c r="D578" s="6"/>
    </row>
    <row r="579" ht="15.75" customHeight="1">
      <c r="B579" s="6"/>
      <c r="D579" s="6"/>
    </row>
    <row r="580" ht="15.75" customHeight="1">
      <c r="B580" s="6"/>
      <c r="D580" s="6"/>
    </row>
    <row r="581" ht="15.75" customHeight="1">
      <c r="B581" s="6"/>
      <c r="D581" s="6"/>
    </row>
    <row r="582" ht="15.75" customHeight="1">
      <c r="B582" s="6"/>
      <c r="D582" s="6"/>
    </row>
    <row r="583" ht="15.75" customHeight="1">
      <c r="B583" s="6"/>
      <c r="D583" s="6"/>
    </row>
    <row r="584" ht="15.75" customHeight="1">
      <c r="B584" s="6"/>
      <c r="D584" s="6"/>
    </row>
    <row r="585" ht="15.75" customHeight="1">
      <c r="B585" s="6"/>
      <c r="D585" s="6"/>
    </row>
    <row r="586" ht="15.75" customHeight="1">
      <c r="B586" s="6"/>
      <c r="D586" s="6"/>
    </row>
    <row r="587" ht="15.75" customHeight="1">
      <c r="B587" s="6"/>
      <c r="D587" s="6"/>
    </row>
    <row r="588" ht="15.75" customHeight="1">
      <c r="B588" s="6"/>
      <c r="D588" s="6"/>
    </row>
    <row r="589" ht="15.75" customHeight="1">
      <c r="B589" s="6"/>
      <c r="D589" s="6"/>
    </row>
    <row r="590" ht="15.75" customHeight="1">
      <c r="B590" s="6"/>
      <c r="D590" s="6"/>
    </row>
    <row r="591" ht="15.75" customHeight="1">
      <c r="B591" s="6"/>
      <c r="D591" s="6"/>
    </row>
    <row r="592" ht="15.75" customHeight="1">
      <c r="B592" s="6"/>
      <c r="D592" s="6"/>
    </row>
    <row r="593" ht="15.75" customHeight="1">
      <c r="B593" s="6"/>
      <c r="D593" s="6"/>
    </row>
    <row r="594" ht="15.75" customHeight="1">
      <c r="B594" s="6"/>
      <c r="D594" s="6"/>
    </row>
    <row r="595" ht="15.75" customHeight="1">
      <c r="B595" s="6"/>
      <c r="D595" s="6"/>
    </row>
    <row r="596" ht="15.75" customHeight="1">
      <c r="B596" s="6"/>
      <c r="D596" s="6"/>
    </row>
    <row r="597" ht="15.75" customHeight="1">
      <c r="B597" s="6"/>
      <c r="D597" s="6"/>
    </row>
    <row r="598" ht="15.75" customHeight="1">
      <c r="B598" s="6"/>
      <c r="D598" s="6"/>
    </row>
    <row r="599" ht="15.75" customHeight="1">
      <c r="B599" s="6"/>
      <c r="D599" s="6"/>
    </row>
    <row r="600" ht="15.75" customHeight="1">
      <c r="B600" s="6"/>
      <c r="D600" s="6"/>
    </row>
    <row r="601" ht="15.75" customHeight="1">
      <c r="B601" s="6"/>
      <c r="D601" s="6"/>
    </row>
    <row r="602" ht="15.75" customHeight="1">
      <c r="B602" s="6"/>
      <c r="D602" s="6"/>
    </row>
    <row r="603" ht="15.75" customHeight="1">
      <c r="B603" s="6"/>
      <c r="D603" s="6"/>
    </row>
    <row r="604" ht="15.75" customHeight="1">
      <c r="B604" s="6"/>
      <c r="D604" s="6"/>
    </row>
    <row r="605" ht="15.75" customHeight="1">
      <c r="B605" s="6"/>
      <c r="D605" s="6"/>
    </row>
    <row r="606" ht="15.75" customHeight="1">
      <c r="B606" s="6"/>
      <c r="D606" s="6"/>
    </row>
    <row r="607" ht="15.75" customHeight="1">
      <c r="B607" s="6"/>
      <c r="D607" s="6"/>
    </row>
    <row r="608" ht="15.75" customHeight="1">
      <c r="B608" s="6"/>
      <c r="D608" s="6"/>
    </row>
    <row r="609" ht="15.75" customHeight="1">
      <c r="B609" s="6"/>
      <c r="D609" s="6"/>
    </row>
    <row r="610" ht="15.75" customHeight="1">
      <c r="B610" s="6"/>
      <c r="D610" s="6"/>
    </row>
    <row r="611" ht="15.75" customHeight="1">
      <c r="B611" s="6"/>
      <c r="D611" s="6"/>
    </row>
    <row r="612" ht="15.75" customHeight="1">
      <c r="B612" s="6"/>
      <c r="D612" s="6"/>
    </row>
    <row r="613" ht="15.75" customHeight="1">
      <c r="B613" s="6"/>
      <c r="D613" s="6"/>
    </row>
    <row r="614" ht="15.75" customHeight="1">
      <c r="B614" s="6"/>
      <c r="D614" s="6"/>
    </row>
    <row r="615" ht="15.75" customHeight="1">
      <c r="B615" s="6"/>
      <c r="D615" s="6"/>
    </row>
    <row r="616" ht="15.75" customHeight="1">
      <c r="B616" s="6"/>
      <c r="D616" s="6"/>
    </row>
    <row r="617" ht="15.75" customHeight="1">
      <c r="B617" s="6"/>
      <c r="D617" s="6"/>
    </row>
    <row r="618" ht="15.75" customHeight="1">
      <c r="B618" s="6"/>
      <c r="D618" s="6"/>
    </row>
    <row r="619" ht="15.75" customHeight="1">
      <c r="B619" s="6"/>
      <c r="D619" s="6"/>
    </row>
    <row r="620" ht="15.75" customHeight="1">
      <c r="B620" s="6"/>
      <c r="D620" s="6"/>
    </row>
    <row r="621" ht="15.75" customHeight="1">
      <c r="B621" s="6"/>
      <c r="D621" s="6"/>
    </row>
    <row r="622" ht="15.75" customHeight="1">
      <c r="B622" s="6"/>
      <c r="D622" s="6"/>
    </row>
    <row r="623" ht="15.75" customHeight="1">
      <c r="B623" s="6"/>
      <c r="D623" s="6"/>
    </row>
    <row r="624" ht="15.75" customHeight="1">
      <c r="B624" s="6"/>
      <c r="D624" s="6"/>
    </row>
    <row r="625" ht="15.75" customHeight="1">
      <c r="B625" s="6"/>
      <c r="D625" s="6"/>
    </row>
    <row r="626" ht="15.75" customHeight="1">
      <c r="B626" s="6"/>
      <c r="D626" s="6"/>
    </row>
    <row r="627" ht="15.75" customHeight="1">
      <c r="B627" s="6"/>
      <c r="D627" s="6"/>
    </row>
    <row r="628" ht="15.75" customHeight="1">
      <c r="B628" s="6"/>
      <c r="D628" s="6"/>
    </row>
    <row r="629" ht="15.75" customHeight="1">
      <c r="B629" s="6"/>
      <c r="D629" s="6"/>
    </row>
    <row r="630" ht="15.75" customHeight="1">
      <c r="B630" s="6"/>
      <c r="D630" s="6"/>
    </row>
    <row r="631" ht="15.75" customHeight="1">
      <c r="B631" s="6"/>
      <c r="D631" s="6"/>
    </row>
    <row r="632" ht="15.75" customHeight="1">
      <c r="B632" s="6"/>
      <c r="D632" s="6"/>
    </row>
    <row r="633" ht="15.75" customHeight="1">
      <c r="B633" s="6"/>
      <c r="D633" s="6"/>
    </row>
    <row r="634" ht="15.75" customHeight="1">
      <c r="B634" s="6"/>
      <c r="D634" s="6"/>
    </row>
    <row r="635" ht="15.75" customHeight="1">
      <c r="B635" s="6"/>
      <c r="D635" s="6"/>
    </row>
    <row r="636" ht="15.75" customHeight="1">
      <c r="B636" s="6"/>
      <c r="D636" s="6"/>
    </row>
    <row r="637" ht="15.75" customHeight="1">
      <c r="B637" s="6"/>
      <c r="D637" s="6"/>
    </row>
    <row r="638" ht="15.75" customHeight="1">
      <c r="B638" s="6"/>
      <c r="D638" s="6"/>
    </row>
    <row r="639" ht="15.75" customHeight="1">
      <c r="B639" s="6"/>
      <c r="D639" s="6"/>
    </row>
    <row r="640" ht="15.75" customHeight="1">
      <c r="B640" s="6"/>
      <c r="D640" s="6"/>
    </row>
    <row r="641" ht="15.75" customHeight="1">
      <c r="B641" s="6"/>
      <c r="D641" s="6"/>
    </row>
    <row r="642" ht="15.75" customHeight="1">
      <c r="B642" s="6"/>
      <c r="D642" s="6"/>
    </row>
    <row r="643" ht="15.75" customHeight="1">
      <c r="B643" s="6"/>
      <c r="D643" s="6"/>
    </row>
    <row r="644" ht="15.75" customHeight="1">
      <c r="B644" s="6"/>
      <c r="D644" s="6"/>
    </row>
    <row r="645" ht="15.75" customHeight="1">
      <c r="B645" s="6"/>
      <c r="D645" s="6"/>
    </row>
    <row r="646" ht="15.75" customHeight="1">
      <c r="B646" s="6"/>
      <c r="D646" s="6"/>
    </row>
    <row r="647" ht="15.75" customHeight="1">
      <c r="B647" s="6"/>
      <c r="D647" s="6"/>
    </row>
    <row r="648" ht="15.75" customHeight="1">
      <c r="B648" s="6"/>
      <c r="D648" s="6"/>
    </row>
    <row r="649" ht="15.75" customHeight="1">
      <c r="B649" s="6"/>
      <c r="D649" s="6"/>
    </row>
    <row r="650" ht="15.75" customHeight="1">
      <c r="B650" s="6"/>
      <c r="D650" s="6"/>
    </row>
    <row r="651" ht="15.75" customHeight="1">
      <c r="B651" s="6"/>
      <c r="D651" s="6"/>
    </row>
    <row r="652" ht="15.75" customHeight="1">
      <c r="B652" s="6"/>
      <c r="D652" s="6"/>
    </row>
    <row r="653" ht="15.75" customHeight="1">
      <c r="B653" s="6"/>
      <c r="D653" s="6"/>
    </row>
    <row r="654" ht="15.75" customHeight="1">
      <c r="B654" s="6"/>
      <c r="D654" s="6"/>
    </row>
    <row r="655" ht="15.75" customHeight="1">
      <c r="B655" s="6"/>
      <c r="D655" s="6"/>
    </row>
    <row r="656" ht="15.75" customHeight="1">
      <c r="B656" s="6"/>
      <c r="D656" s="6"/>
    </row>
    <row r="657" ht="15.75" customHeight="1">
      <c r="B657" s="6"/>
      <c r="D657" s="6"/>
    </row>
    <row r="658" ht="15.75" customHeight="1">
      <c r="B658" s="6"/>
      <c r="D658" s="6"/>
    </row>
    <row r="659" ht="15.75" customHeight="1">
      <c r="B659" s="6"/>
      <c r="D659" s="6"/>
    </row>
    <row r="660" ht="15.75" customHeight="1">
      <c r="B660" s="6"/>
      <c r="D660" s="6"/>
    </row>
    <row r="661" ht="15.75" customHeight="1">
      <c r="B661" s="6"/>
      <c r="D661" s="6"/>
    </row>
    <row r="662" ht="15.75" customHeight="1">
      <c r="B662" s="6"/>
      <c r="D662" s="6"/>
    </row>
    <row r="663" ht="15.75" customHeight="1">
      <c r="B663" s="6"/>
      <c r="D663" s="6"/>
    </row>
    <row r="664" ht="15.75" customHeight="1">
      <c r="B664" s="6"/>
      <c r="D664" s="6"/>
    </row>
    <row r="665" ht="15.75" customHeight="1">
      <c r="B665" s="6"/>
      <c r="D665" s="6"/>
    </row>
    <row r="666" ht="15.75" customHeight="1">
      <c r="B666" s="6"/>
      <c r="D666" s="6"/>
    </row>
    <row r="667" ht="15.75" customHeight="1">
      <c r="B667" s="6"/>
      <c r="D667" s="6"/>
    </row>
    <row r="668" ht="15.75" customHeight="1">
      <c r="B668" s="6"/>
      <c r="D668" s="6"/>
    </row>
    <row r="669" ht="15.75" customHeight="1">
      <c r="B669" s="6"/>
      <c r="D669" s="6"/>
    </row>
    <row r="670" ht="15.75" customHeight="1">
      <c r="B670" s="6"/>
      <c r="D670" s="6"/>
    </row>
    <row r="671" ht="15.75" customHeight="1">
      <c r="B671" s="6"/>
      <c r="D671" s="6"/>
    </row>
    <row r="672" ht="15.75" customHeight="1">
      <c r="B672" s="6"/>
      <c r="D672" s="6"/>
    </row>
    <row r="673" ht="15.75" customHeight="1">
      <c r="B673" s="6"/>
      <c r="D673" s="6"/>
    </row>
    <row r="674" ht="15.75" customHeight="1">
      <c r="B674" s="6"/>
      <c r="D674" s="6"/>
    </row>
    <row r="675" ht="15.75" customHeight="1">
      <c r="B675" s="6"/>
      <c r="D675" s="6"/>
    </row>
    <row r="676" ht="15.75" customHeight="1">
      <c r="B676" s="6"/>
      <c r="D676" s="6"/>
    </row>
    <row r="677" ht="15.75" customHeight="1">
      <c r="B677" s="6"/>
      <c r="D677" s="6"/>
    </row>
    <row r="678" ht="15.75" customHeight="1">
      <c r="B678" s="6"/>
      <c r="D678" s="6"/>
    </row>
    <row r="679" ht="15.75" customHeight="1">
      <c r="B679" s="6"/>
      <c r="D679" s="6"/>
    </row>
    <row r="680" ht="15.75" customHeight="1">
      <c r="B680" s="6"/>
      <c r="D680" s="6"/>
    </row>
    <row r="681" ht="15.75" customHeight="1">
      <c r="B681" s="6"/>
      <c r="D681" s="6"/>
    </row>
    <row r="682" ht="15.75" customHeight="1">
      <c r="B682" s="6"/>
      <c r="D682" s="6"/>
    </row>
    <row r="683" ht="15.75" customHeight="1">
      <c r="B683" s="6"/>
      <c r="D683" s="6"/>
    </row>
    <row r="684" ht="15.75" customHeight="1">
      <c r="B684" s="6"/>
      <c r="D684" s="6"/>
    </row>
    <row r="685" ht="15.75" customHeight="1">
      <c r="B685" s="6"/>
      <c r="D685" s="6"/>
    </row>
    <row r="686" ht="15.75" customHeight="1">
      <c r="B686" s="6"/>
      <c r="D686" s="6"/>
    </row>
    <row r="687" ht="15.75" customHeight="1">
      <c r="B687" s="6"/>
      <c r="D687" s="6"/>
    </row>
    <row r="688" ht="15.75" customHeight="1">
      <c r="B688" s="6"/>
      <c r="D688" s="6"/>
    </row>
    <row r="689" ht="15.75" customHeight="1">
      <c r="B689" s="6"/>
      <c r="D689" s="6"/>
    </row>
    <row r="690" ht="15.75" customHeight="1">
      <c r="B690" s="6"/>
      <c r="D690" s="6"/>
    </row>
    <row r="691" ht="15.75" customHeight="1">
      <c r="B691" s="6"/>
      <c r="D691" s="6"/>
    </row>
    <row r="692" ht="15.75" customHeight="1">
      <c r="B692" s="6"/>
      <c r="D692" s="6"/>
    </row>
    <row r="693" ht="15.75" customHeight="1">
      <c r="B693" s="6"/>
      <c r="D693" s="6"/>
    </row>
    <row r="694" ht="15.75" customHeight="1">
      <c r="B694" s="6"/>
      <c r="D694" s="6"/>
    </row>
    <row r="695" ht="15.75" customHeight="1">
      <c r="B695" s="6"/>
      <c r="D695" s="6"/>
    </row>
    <row r="696" ht="15.75" customHeight="1">
      <c r="B696" s="6"/>
      <c r="D696" s="6"/>
    </row>
    <row r="697" ht="15.75" customHeight="1">
      <c r="B697" s="6"/>
      <c r="D697" s="6"/>
    </row>
    <row r="698" ht="15.75" customHeight="1">
      <c r="B698" s="6"/>
      <c r="D698" s="6"/>
    </row>
    <row r="699" ht="15.75" customHeight="1">
      <c r="B699" s="6"/>
      <c r="D699" s="6"/>
    </row>
    <row r="700" ht="15.75" customHeight="1">
      <c r="B700" s="6"/>
      <c r="D700" s="6"/>
    </row>
    <row r="701" ht="15.75" customHeight="1">
      <c r="B701" s="6"/>
      <c r="D701" s="6"/>
    </row>
    <row r="702" ht="15.75" customHeight="1">
      <c r="B702" s="6"/>
      <c r="D702" s="6"/>
    </row>
    <row r="703" ht="15.75" customHeight="1">
      <c r="B703" s="6"/>
      <c r="D703" s="6"/>
    </row>
    <row r="704" ht="15.75" customHeight="1">
      <c r="B704" s="6"/>
      <c r="D704" s="6"/>
    </row>
    <row r="705" ht="15.75" customHeight="1">
      <c r="B705" s="6"/>
      <c r="D705" s="6"/>
    </row>
    <row r="706" ht="15.75" customHeight="1">
      <c r="B706" s="6"/>
      <c r="D706" s="6"/>
    </row>
    <row r="707" ht="15.75" customHeight="1">
      <c r="B707" s="6"/>
      <c r="D707" s="6"/>
    </row>
    <row r="708" ht="15.75" customHeight="1">
      <c r="B708" s="6"/>
      <c r="D708" s="6"/>
    </row>
    <row r="709" ht="15.75" customHeight="1">
      <c r="B709" s="6"/>
      <c r="D709" s="6"/>
    </row>
    <row r="710" ht="15.75" customHeight="1">
      <c r="B710" s="6"/>
      <c r="D710" s="6"/>
    </row>
    <row r="711" ht="15.75" customHeight="1">
      <c r="B711" s="6"/>
      <c r="D711" s="6"/>
    </row>
    <row r="712" ht="15.75" customHeight="1">
      <c r="B712" s="6"/>
      <c r="D712" s="6"/>
    </row>
    <row r="713" ht="15.75" customHeight="1">
      <c r="B713" s="6"/>
      <c r="D713" s="6"/>
    </row>
    <row r="714" ht="15.75" customHeight="1">
      <c r="B714" s="6"/>
      <c r="D714" s="6"/>
    </row>
    <row r="715" ht="15.75" customHeight="1">
      <c r="B715" s="6"/>
      <c r="D715" s="6"/>
    </row>
    <row r="716" ht="15.75" customHeight="1">
      <c r="B716" s="6"/>
      <c r="D716" s="6"/>
    </row>
    <row r="717" ht="15.75" customHeight="1">
      <c r="B717" s="6"/>
      <c r="D717" s="6"/>
    </row>
    <row r="718" ht="15.75" customHeight="1">
      <c r="B718" s="6"/>
      <c r="D718" s="6"/>
    </row>
    <row r="719" ht="15.75" customHeight="1">
      <c r="B719" s="6"/>
      <c r="D719" s="6"/>
    </row>
    <row r="720" ht="15.75" customHeight="1">
      <c r="B720" s="6"/>
      <c r="D720" s="6"/>
    </row>
    <row r="721" ht="15.75" customHeight="1">
      <c r="B721" s="6"/>
      <c r="D721" s="6"/>
    </row>
    <row r="722" ht="15.75" customHeight="1">
      <c r="B722" s="6"/>
      <c r="D722" s="6"/>
    </row>
    <row r="723" ht="15.75" customHeight="1">
      <c r="B723" s="6"/>
      <c r="D723" s="6"/>
    </row>
    <row r="724" ht="15.75" customHeight="1">
      <c r="B724" s="6"/>
      <c r="D724" s="6"/>
    </row>
    <row r="725" ht="15.75" customHeight="1">
      <c r="B725" s="6"/>
      <c r="D725" s="6"/>
    </row>
    <row r="726" ht="15.75" customHeight="1">
      <c r="B726" s="6"/>
      <c r="D726" s="6"/>
    </row>
    <row r="727" ht="15.75" customHeight="1">
      <c r="B727" s="6"/>
      <c r="D727" s="6"/>
    </row>
    <row r="728" ht="15.75" customHeight="1">
      <c r="B728" s="6"/>
      <c r="D728" s="6"/>
    </row>
    <row r="729" ht="15.75" customHeight="1">
      <c r="B729" s="6"/>
      <c r="D729" s="6"/>
    </row>
    <row r="730" ht="15.75" customHeight="1">
      <c r="B730" s="6"/>
      <c r="D730" s="6"/>
    </row>
    <row r="731" ht="15.75" customHeight="1">
      <c r="B731" s="6"/>
      <c r="D731" s="6"/>
    </row>
    <row r="732" ht="15.75" customHeight="1">
      <c r="B732" s="6"/>
      <c r="D732" s="6"/>
    </row>
    <row r="733" ht="15.75" customHeight="1">
      <c r="B733" s="6"/>
      <c r="D733" s="6"/>
    </row>
    <row r="734" ht="15.75" customHeight="1">
      <c r="B734" s="6"/>
      <c r="D734" s="6"/>
    </row>
    <row r="735" ht="15.75" customHeight="1">
      <c r="B735" s="6"/>
      <c r="D735" s="6"/>
    </row>
    <row r="736" ht="15.75" customHeight="1">
      <c r="B736" s="6"/>
      <c r="D736" s="6"/>
    </row>
    <row r="737" ht="15.75" customHeight="1">
      <c r="B737" s="6"/>
      <c r="D737" s="6"/>
    </row>
    <row r="738" ht="15.75" customHeight="1">
      <c r="B738" s="6"/>
      <c r="D738" s="6"/>
    </row>
    <row r="739" ht="15.75" customHeight="1">
      <c r="B739" s="6"/>
      <c r="D739" s="6"/>
    </row>
    <row r="740" ht="15.75" customHeight="1">
      <c r="B740" s="6"/>
      <c r="D740" s="6"/>
    </row>
    <row r="741" ht="15.75" customHeight="1">
      <c r="B741" s="6"/>
      <c r="D741" s="6"/>
    </row>
    <row r="742" ht="15.75" customHeight="1">
      <c r="B742" s="6"/>
      <c r="D742" s="6"/>
    </row>
    <row r="743" ht="15.75" customHeight="1">
      <c r="B743" s="6"/>
      <c r="D743" s="6"/>
    </row>
    <row r="744" ht="15.75" customHeight="1">
      <c r="B744" s="6"/>
      <c r="D744" s="6"/>
    </row>
    <row r="745" ht="15.75" customHeight="1">
      <c r="B745" s="6"/>
      <c r="D745" s="6"/>
    </row>
    <row r="746" ht="15.75" customHeight="1">
      <c r="B746" s="6"/>
      <c r="D746" s="6"/>
    </row>
    <row r="747" ht="15.75" customHeight="1">
      <c r="B747" s="6"/>
      <c r="D747" s="6"/>
    </row>
    <row r="748" ht="15.75" customHeight="1">
      <c r="B748" s="6"/>
      <c r="D748" s="6"/>
    </row>
    <row r="749" ht="15.75" customHeight="1">
      <c r="B749" s="6"/>
      <c r="D749" s="6"/>
    </row>
    <row r="750" ht="15.75" customHeight="1">
      <c r="B750" s="6"/>
      <c r="D750" s="6"/>
    </row>
    <row r="751" ht="15.75" customHeight="1">
      <c r="B751" s="6"/>
      <c r="D751" s="6"/>
    </row>
    <row r="752" ht="15.75" customHeight="1">
      <c r="B752" s="6"/>
      <c r="D752" s="6"/>
    </row>
    <row r="753" ht="15.75" customHeight="1">
      <c r="B753" s="6"/>
      <c r="D753" s="6"/>
    </row>
    <row r="754" ht="15.75" customHeight="1">
      <c r="B754" s="6"/>
      <c r="D754" s="6"/>
    </row>
    <row r="755" ht="15.75" customHeight="1">
      <c r="B755" s="6"/>
      <c r="D755" s="6"/>
    </row>
    <row r="756" ht="15.75" customHeight="1">
      <c r="B756" s="6"/>
      <c r="D756" s="6"/>
    </row>
    <row r="757" ht="15.75" customHeight="1">
      <c r="B757" s="6"/>
      <c r="D757" s="6"/>
    </row>
    <row r="758" ht="15.75" customHeight="1">
      <c r="B758" s="6"/>
      <c r="D758" s="6"/>
    </row>
    <row r="759" ht="15.75" customHeight="1">
      <c r="B759" s="6"/>
      <c r="D759" s="6"/>
    </row>
    <row r="760" ht="15.75" customHeight="1">
      <c r="B760" s="6"/>
      <c r="D760" s="6"/>
    </row>
    <row r="761" ht="15.75" customHeight="1">
      <c r="B761" s="6"/>
      <c r="D761" s="6"/>
    </row>
    <row r="762" ht="15.75" customHeight="1">
      <c r="B762" s="6"/>
      <c r="D762" s="6"/>
    </row>
    <row r="763" ht="15.75" customHeight="1">
      <c r="B763" s="6"/>
      <c r="D763" s="6"/>
    </row>
    <row r="764" ht="15.75" customHeight="1">
      <c r="B764" s="6"/>
      <c r="D764" s="6"/>
    </row>
    <row r="765" ht="15.75" customHeight="1">
      <c r="B765" s="6"/>
      <c r="D765" s="6"/>
    </row>
    <row r="766" ht="15.75" customHeight="1">
      <c r="B766" s="6"/>
      <c r="D766" s="6"/>
    </row>
    <row r="767" ht="15.75" customHeight="1">
      <c r="B767" s="6"/>
      <c r="D767" s="6"/>
    </row>
    <row r="768" ht="15.75" customHeight="1">
      <c r="B768" s="6"/>
      <c r="D768" s="6"/>
    </row>
    <row r="769" ht="15.75" customHeight="1">
      <c r="B769" s="6"/>
      <c r="D769" s="6"/>
    </row>
    <row r="770" ht="15.75" customHeight="1">
      <c r="B770" s="6"/>
      <c r="D770" s="6"/>
    </row>
    <row r="771" ht="15.75" customHeight="1">
      <c r="B771" s="6"/>
      <c r="D771" s="6"/>
    </row>
    <row r="772" ht="15.75" customHeight="1">
      <c r="B772" s="6"/>
      <c r="D772" s="6"/>
    </row>
    <row r="773" ht="15.75" customHeight="1">
      <c r="B773" s="6"/>
      <c r="D773" s="6"/>
    </row>
    <row r="774" ht="15.75" customHeight="1">
      <c r="B774" s="6"/>
      <c r="D774" s="6"/>
    </row>
    <row r="775" ht="15.75" customHeight="1">
      <c r="B775" s="6"/>
      <c r="D775" s="6"/>
    </row>
    <row r="776" ht="15.75" customHeight="1">
      <c r="B776" s="6"/>
      <c r="D776" s="6"/>
    </row>
    <row r="777" ht="15.75" customHeight="1">
      <c r="B777" s="6"/>
      <c r="D777" s="6"/>
    </row>
    <row r="778" ht="15.75" customHeight="1">
      <c r="B778" s="6"/>
      <c r="D778" s="6"/>
    </row>
    <row r="779" ht="15.75" customHeight="1">
      <c r="B779" s="6"/>
      <c r="D779" s="6"/>
    </row>
    <row r="780" ht="15.75" customHeight="1">
      <c r="B780" s="6"/>
      <c r="D780" s="6"/>
    </row>
    <row r="781" ht="15.75" customHeight="1">
      <c r="B781" s="6"/>
      <c r="D781" s="6"/>
    </row>
    <row r="782" ht="15.75" customHeight="1">
      <c r="B782" s="6"/>
      <c r="D782" s="6"/>
    </row>
    <row r="783" ht="15.75" customHeight="1">
      <c r="B783" s="6"/>
      <c r="D783" s="6"/>
    </row>
    <row r="784" ht="15.75" customHeight="1">
      <c r="B784" s="6"/>
      <c r="D784" s="6"/>
    </row>
    <row r="785" ht="15.75" customHeight="1">
      <c r="B785" s="6"/>
      <c r="D785" s="6"/>
    </row>
    <row r="786" ht="15.75" customHeight="1">
      <c r="B786" s="6"/>
      <c r="D786" s="6"/>
    </row>
    <row r="787" ht="15.75" customHeight="1">
      <c r="B787" s="6"/>
      <c r="D787" s="6"/>
    </row>
    <row r="788" ht="15.75" customHeight="1">
      <c r="B788" s="6"/>
      <c r="D788" s="6"/>
    </row>
    <row r="789" ht="15.75" customHeight="1">
      <c r="B789" s="6"/>
      <c r="D789" s="6"/>
    </row>
    <row r="790" ht="15.75" customHeight="1">
      <c r="B790" s="6"/>
      <c r="D790" s="6"/>
    </row>
    <row r="791" ht="15.75" customHeight="1">
      <c r="B791" s="6"/>
      <c r="D791" s="6"/>
    </row>
    <row r="792" ht="15.75" customHeight="1">
      <c r="B792" s="6"/>
      <c r="D792" s="6"/>
    </row>
    <row r="793" ht="15.75" customHeight="1">
      <c r="B793" s="6"/>
      <c r="D793" s="6"/>
    </row>
    <row r="794" ht="15.75" customHeight="1">
      <c r="B794" s="6"/>
      <c r="D794" s="6"/>
    </row>
    <row r="795" ht="15.75" customHeight="1">
      <c r="B795" s="6"/>
      <c r="D795" s="6"/>
    </row>
    <row r="796" ht="15.75" customHeight="1">
      <c r="B796" s="6"/>
      <c r="D796" s="6"/>
    </row>
    <row r="797" ht="15.75" customHeight="1">
      <c r="B797" s="6"/>
      <c r="D797" s="6"/>
    </row>
    <row r="798" ht="15.75" customHeight="1">
      <c r="B798" s="6"/>
      <c r="D798" s="6"/>
    </row>
    <row r="799" ht="15.75" customHeight="1">
      <c r="B799" s="6"/>
      <c r="D799" s="6"/>
    </row>
    <row r="800" ht="15.75" customHeight="1">
      <c r="B800" s="6"/>
      <c r="D800" s="6"/>
    </row>
    <row r="801" ht="15.75" customHeight="1">
      <c r="B801" s="6"/>
      <c r="D801" s="6"/>
    </row>
    <row r="802" ht="15.75" customHeight="1">
      <c r="B802" s="6"/>
      <c r="D802" s="6"/>
    </row>
    <row r="803" ht="15.75" customHeight="1">
      <c r="B803" s="6"/>
      <c r="D803" s="6"/>
    </row>
    <row r="804" ht="15.75" customHeight="1">
      <c r="B804" s="6"/>
      <c r="D804" s="6"/>
    </row>
    <row r="805" ht="15.75" customHeight="1">
      <c r="B805" s="6"/>
      <c r="D805" s="6"/>
    </row>
    <row r="806" ht="15.75" customHeight="1">
      <c r="B806" s="6"/>
      <c r="D806" s="6"/>
    </row>
    <row r="807" ht="15.75" customHeight="1">
      <c r="B807" s="6"/>
      <c r="D807" s="6"/>
    </row>
    <row r="808" ht="15.75" customHeight="1">
      <c r="B808" s="6"/>
      <c r="D808" s="6"/>
    </row>
    <row r="809" ht="15.75" customHeight="1">
      <c r="B809" s="6"/>
      <c r="D809" s="6"/>
    </row>
    <row r="810" ht="15.75" customHeight="1">
      <c r="B810" s="6"/>
      <c r="D810" s="6"/>
    </row>
    <row r="811" ht="15.75" customHeight="1">
      <c r="B811" s="6"/>
      <c r="D811" s="6"/>
    </row>
    <row r="812" ht="15.75" customHeight="1">
      <c r="B812" s="6"/>
      <c r="D812" s="6"/>
    </row>
    <row r="813" ht="15.75" customHeight="1">
      <c r="B813" s="6"/>
      <c r="D813" s="6"/>
    </row>
    <row r="814" ht="15.75" customHeight="1">
      <c r="B814" s="6"/>
      <c r="D814" s="6"/>
    </row>
    <row r="815" ht="15.75" customHeight="1">
      <c r="B815" s="6"/>
      <c r="D815" s="6"/>
    </row>
    <row r="816" ht="15.75" customHeight="1">
      <c r="B816" s="6"/>
      <c r="D816" s="6"/>
    </row>
    <row r="817" ht="15.75" customHeight="1">
      <c r="B817" s="6"/>
      <c r="D817" s="6"/>
    </row>
    <row r="818" ht="15.75" customHeight="1">
      <c r="B818" s="6"/>
      <c r="D818" s="6"/>
    </row>
    <row r="819" ht="15.75" customHeight="1">
      <c r="B819" s="6"/>
      <c r="D819" s="6"/>
    </row>
    <row r="820" ht="15.75" customHeight="1">
      <c r="B820" s="6"/>
      <c r="D820" s="6"/>
    </row>
    <row r="821" ht="15.75" customHeight="1">
      <c r="B821" s="6"/>
      <c r="D821" s="6"/>
    </row>
    <row r="822" ht="15.75" customHeight="1">
      <c r="B822" s="6"/>
      <c r="D822" s="6"/>
    </row>
    <row r="823" ht="15.75" customHeight="1">
      <c r="B823" s="6"/>
      <c r="D823" s="6"/>
    </row>
    <row r="824" ht="15.75" customHeight="1">
      <c r="B824" s="6"/>
      <c r="D824" s="6"/>
    </row>
    <row r="825" ht="15.75" customHeight="1">
      <c r="B825" s="6"/>
      <c r="D825" s="6"/>
    </row>
    <row r="826" ht="15.75" customHeight="1">
      <c r="B826" s="6"/>
      <c r="D826" s="6"/>
    </row>
    <row r="827" ht="15.75" customHeight="1">
      <c r="B827" s="6"/>
      <c r="D827" s="6"/>
    </row>
    <row r="828" ht="15.75" customHeight="1">
      <c r="B828" s="6"/>
      <c r="D828" s="6"/>
    </row>
    <row r="829" ht="15.75" customHeight="1">
      <c r="B829" s="6"/>
      <c r="D829" s="6"/>
    </row>
    <row r="830" ht="15.75" customHeight="1">
      <c r="B830" s="6"/>
      <c r="D830" s="6"/>
    </row>
    <row r="831" ht="15.75" customHeight="1">
      <c r="B831" s="6"/>
      <c r="D831" s="6"/>
    </row>
    <row r="832" ht="15.75" customHeight="1">
      <c r="B832" s="6"/>
      <c r="D832" s="6"/>
    </row>
    <row r="833" ht="15.75" customHeight="1">
      <c r="B833" s="6"/>
      <c r="D833" s="6"/>
    </row>
    <row r="834" ht="15.75" customHeight="1">
      <c r="B834" s="6"/>
      <c r="D834" s="6"/>
    </row>
    <row r="835" ht="15.75" customHeight="1">
      <c r="B835" s="6"/>
      <c r="D835" s="6"/>
    </row>
    <row r="836" ht="15.75" customHeight="1">
      <c r="B836" s="6"/>
      <c r="D836" s="6"/>
    </row>
    <row r="837" ht="15.75" customHeight="1">
      <c r="B837" s="6"/>
      <c r="D837" s="6"/>
    </row>
    <row r="838" ht="15.75" customHeight="1">
      <c r="B838" s="6"/>
      <c r="D838" s="6"/>
    </row>
    <row r="839" ht="15.75" customHeight="1">
      <c r="B839" s="6"/>
      <c r="D839" s="6"/>
    </row>
    <row r="840" ht="15.75" customHeight="1">
      <c r="B840" s="6"/>
      <c r="D840" s="6"/>
    </row>
    <row r="841" ht="15.75" customHeight="1">
      <c r="B841" s="6"/>
      <c r="D841" s="6"/>
    </row>
    <row r="842" ht="15.75" customHeight="1">
      <c r="B842" s="6"/>
      <c r="D842" s="6"/>
    </row>
    <row r="843" ht="15.75" customHeight="1">
      <c r="B843" s="6"/>
      <c r="D843" s="6"/>
    </row>
    <row r="844" ht="15.75" customHeight="1">
      <c r="B844" s="6"/>
      <c r="D844" s="6"/>
    </row>
    <row r="845" ht="15.75" customHeight="1">
      <c r="B845" s="6"/>
      <c r="D845" s="6"/>
    </row>
    <row r="846" ht="15.75" customHeight="1">
      <c r="B846" s="6"/>
      <c r="D846" s="6"/>
    </row>
    <row r="847" ht="15.75" customHeight="1">
      <c r="B847" s="6"/>
      <c r="D847" s="6"/>
    </row>
    <row r="848" ht="15.75" customHeight="1">
      <c r="B848" s="6"/>
      <c r="D848" s="6"/>
    </row>
    <row r="849" ht="15.75" customHeight="1">
      <c r="B849" s="6"/>
      <c r="D849" s="6"/>
    </row>
    <row r="850" ht="15.75" customHeight="1">
      <c r="B850" s="6"/>
      <c r="D850" s="6"/>
    </row>
    <row r="851" ht="15.75" customHeight="1">
      <c r="B851" s="6"/>
      <c r="D851" s="6"/>
    </row>
    <row r="852" ht="15.75" customHeight="1">
      <c r="B852" s="6"/>
      <c r="D852" s="6"/>
    </row>
    <row r="853" ht="15.75" customHeight="1">
      <c r="B853" s="6"/>
      <c r="D853" s="6"/>
    </row>
    <row r="854" ht="15.75" customHeight="1">
      <c r="B854" s="6"/>
      <c r="D854" s="6"/>
    </row>
    <row r="855" ht="15.75" customHeight="1">
      <c r="B855" s="6"/>
      <c r="D855" s="6"/>
    </row>
    <row r="856" ht="15.75" customHeight="1">
      <c r="B856" s="6"/>
      <c r="D856" s="6"/>
    </row>
    <row r="857" ht="15.75" customHeight="1">
      <c r="B857" s="6"/>
      <c r="D857" s="6"/>
    </row>
    <row r="858" ht="15.75" customHeight="1">
      <c r="B858" s="6"/>
      <c r="D858" s="6"/>
    </row>
    <row r="859" ht="15.75" customHeight="1">
      <c r="B859" s="6"/>
      <c r="D859" s="6"/>
    </row>
    <row r="860" ht="15.75" customHeight="1">
      <c r="B860" s="6"/>
      <c r="D860" s="6"/>
    </row>
    <row r="861" ht="15.75" customHeight="1">
      <c r="B861" s="6"/>
      <c r="D861" s="6"/>
    </row>
    <row r="862" ht="15.75" customHeight="1">
      <c r="B862" s="6"/>
      <c r="D862" s="6"/>
    </row>
    <row r="863" ht="15.75" customHeight="1">
      <c r="B863" s="6"/>
      <c r="D863" s="6"/>
    </row>
    <row r="864" ht="15.75" customHeight="1">
      <c r="B864" s="6"/>
      <c r="D864" s="6"/>
    </row>
    <row r="865" ht="15.75" customHeight="1">
      <c r="B865" s="6"/>
      <c r="D865" s="6"/>
    </row>
    <row r="866" ht="15.75" customHeight="1">
      <c r="B866" s="6"/>
      <c r="D866" s="6"/>
    </row>
    <row r="867" ht="15.75" customHeight="1">
      <c r="B867" s="6"/>
      <c r="D867" s="6"/>
    </row>
    <row r="868" ht="15.75" customHeight="1">
      <c r="B868" s="6"/>
      <c r="D868" s="6"/>
    </row>
    <row r="869" ht="15.75" customHeight="1">
      <c r="B869" s="6"/>
      <c r="D869" s="6"/>
    </row>
    <row r="870" ht="15.75" customHeight="1">
      <c r="B870" s="6"/>
      <c r="D870" s="6"/>
    </row>
    <row r="871" ht="15.75" customHeight="1">
      <c r="B871" s="6"/>
      <c r="D871" s="6"/>
    </row>
    <row r="872" ht="15.75" customHeight="1">
      <c r="B872" s="6"/>
      <c r="D872" s="6"/>
    </row>
    <row r="873" ht="15.75" customHeight="1">
      <c r="B873" s="6"/>
      <c r="D873" s="6"/>
    </row>
    <row r="874" ht="15.75" customHeight="1">
      <c r="B874" s="6"/>
      <c r="D874" s="6"/>
    </row>
    <row r="875" ht="15.75" customHeight="1">
      <c r="B875" s="6"/>
      <c r="D875" s="6"/>
    </row>
    <row r="876" ht="15.75" customHeight="1">
      <c r="B876" s="6"/>
      <c r="D876" s="6"/>
    </row>
    <row r="877" ht="15.75" customHeight="1">
      <c r="B877" s="6"/>
      <c r="D877" s="6"/>
    </row>
    <row r="878" ht="15.75" customHeight="1">
      <c r="B878" s="6"/>
      <c r="D878" s="6"/>
    </row>
    <row r="879" ht="15.75" customHeight="1">
      <c r="B879" s="6"/>
      <c r="D879" s="6"/>
    </row>
    <row r="880" ht="15.75" customHeight="1">
      <c r="B880" s="6"/>
      <c r="D880" s="6"/>
    </row>
    <row r="881" ht="15.75" customHeight="1">
      <c r="B881" s="6"/>
      <c r="D881" s="6"/>
    </row>
    <row r="882" ht="15.75" customHeight="1">
      <c r="B882" s="6"/>
      <c r="D882" s="6"/>
    </row>
    <row r="883" ht="15.75" customHeight="1">
      <c r="B883" s="6"/>
      <c r="D883" s="6"/>
    </row>
    <row r="884" ht="15.75" customHeight="1">
      <c r="B884" s="6"/>
      <c r="D884" s="6"/>
    </row>
    <row r="885" ht="15.75" customHeight="1">
      <c r="B885" s="6"/>
      <c r="D885" s="6"/>
    </row>
    <row r="886" ht="15.75" customHeight="1">
      <c r="B886" s="6"/>
      <c r="D886" s="6"/>
    </row>
    <row r="887" ht="15.75" customHeight="1">
      <c r="B887" s="6"/>
      <c r="D887" s="6"/>
    </row>
    <row r="888" ht="15.75" customHeight="1">
      <c r="B888" s="6"/>
      <c r="D888" s="6"/>
    </row>
    <row r="889" ht="15.75" customHeight="1">
      <c r="B889" s="6"/>
      <c r="D889" s="6"/>
    </row>
    <row r="890" ht="15.75" customHeight="1">
      <c r="B890" s="6"/>
      <c r="D890" s="6"/>
    </row>
    <row r="891" ht="15.75" customHeight="1">
      <c r="B891" s="6"/>
      <c r="D891" s="6"/>
    </row>
    <row r="892" ht="15.75" customHeight="1">
      <c r="B892" s="6"/>
      <c r="D892" s="6"/>
    </row>
    <row r="893" ht="15.75" customHeight="1">
      <c r="B893" s="6"/>
      <c r="D893" s="6"/>
    </row>
    <row r="894" ht="15.75" customHeight="1">
      <c r="B894" s="6"/>
      <c r="D894" s="6"/>
    </row>
    <row r="895" ht="15.75" customHeight="1">
      <c r="B895" s="6"/>
      <c r="D895" s="6"/>
    </row>
    <row r="896" ht="15.75" customHeight="1">
      <c r="B896" s="6"/>
      <c r="D896" s="6"/>
    </row>
    <row r="897" ht="15.75" customHeight="1">
      <c r="B897" s="6"/>
      <c r="D897" s="6"/>
    </row>
    <row r="898" ht="15.75" customHeight="1">
      <c r="B898" s="6"/>
      <c r="D898" s="6"/>
    </row>
    <row r="899" ht="15.75" customHeight="1">
      <c r="B899" s="6"/>
      <c r="D899" s="6"/>
    </row>
    <row r="900" ht="15.75" customHeight="1">
      <c r="B900" s="6"/>
      <c r="D900" s="6"/>
    </row>
    <row r="901" ht="15.75" customHeight="1">
      <c r="B901" s="6"/>
      <c r="D901" s="6"/>
    </row>
    <row r="902" ht="15.75" customHeight="1">
      <c r="B902" s="6"/>
      <c r="D902" s="6"/>
    </row>
    <row r="903" ht="15.75" customHeight="1">
      <c r="B903" s="6"/>
      <c r="D903" s="6"/>
    </row>
    <row r="904" ht="15.75" customHeight="1">
      <c r="B904" s="6"/>
      <c r="D904" s="6"/>
    </row>
    <row r="905" ht="15.75" customHeight="1">
      <c r="B905" s="6"/>
      <c r="D905" s="6"/>
    </row>
    <row r="906" ht="15.75" customHeight="1">
      <c r="B906" s="6"/>
      <c r="D906" s="6"/>
    </row>
    <row r="907" ht="15.75" customHeight="1">
      <c r="B907" s="6"/>
      <c r="D907" s="6"/>
    </row>
    <row r="908" ht="15.75" customHeight="1">
      <c r="B908" s="6"/>
      <c r="D908" s="6"/>
    </row>
    <row r="909" ht="15.75" customHeight="1">
      <c r="B909" s="6"/>
      <c r="D909" s="6"/>
    </row>
    <row r="910" ht="15.75" customHeight="1">
      <c r="B910" s="6"/>
      <c r="D910" s="6"/>
    </row>
    <row r="911" ht="15.75" customHeight="1">
      <c r="B911" s="6"/>
      <c r="D911" s="6"/>
    </row>
    <row r="912" ht="15.75" customHeight="1">
      <c r="B912" s="6"/>
      <c r="D912" s="6"/>
    </row>
    <row r="913" ht="15.75" customHeight="1">
      <c r="B913" s="6"/>
      <c r="D913" s="6"/>
    </row>
    <row r="914" ht="15.75" customHeight="1">
      <c r="B914" s="6"/>
      <c r="D914" s="6"/>
    </row>
    <row r="915" ht="15.75" customHeight="1">
      <c r="B915" s="6"/>
      <c r="D915" s="6"/>
    </row>
    <row r="916" ht="15.75" customHeight="1">
      <c r="B916" s="6"/>
      <c r="D916" s="6"/>
    </row>
    <row r="917" ht="15.75" customHeight="1">
      <c r="B917" s="6"/>
      <c r="D917" s="6"/>
    </row>
    <row r="918" ht="15.75" customHeight="1">
      <c r="B918" s="6"/>
      <c r="D918" s="6"/>
    </row>
    <row r="919" ht="15.75" customHeight="1">
      <c r="B919" s="6"/>
      <c r="D919" s="6"/>
    </row>
    <row r="920" ht="15.75" customHeight="1">
      <c r="B920" s="6"/>
      <c r="D920" s="6"/>
    </row>
    <row r="921" ht="15.75" customHeight="1">
      <c r="B921" s="6"/>
      <c r="D921" s="6"/>
    </row>
    <row r="922" ht="15.75" customHeight="1">
      <c r="B922" s="6"/>
      <c r="D922" s="6"/>
    </row>
    <row r="923" ht="15.75" customHeight="1">
      <c r="B923" s="6"/>
      <c r="D923" s="6"/>
    </row>
    <row r="924" ht="15.75" customHeight="1">
      <c r="B924" s="6"/>
      <c r="D924" s="6"/>
    </row>
    <row r="925" ht="15.75" customHeight="1">
      <c r="B925" s="6"/>
      <c r="D925" s="6"/>
    </row>
    <row r="926" ht="15.75" customHeight="1">
      <c r="B926" s="6"/>
      <c r="D926" s="6"/>
    </row>
    <row r="927" ht="15.75" customHeight="1">
      <c r="B927" s="6"/>
      <c r="D927" s="6"/>
    </row>
    <row r="928" ht="15.75" customHeight="1">
      <c r="B928" s="6"/>
      <c r="D928" s="6"/>
    </row>
    <row r="929" ht="15.75" customHeight="1">
      <c r="B929" s="6"/>
      <c r="D929" s="6"/>
    </row>
    <row r="930" ht="15.75" customHeight="1">
      <c r="B930" s="6"/>
      <c r="D930" s="6"/>
    </row>
    <row r="931" ht="15.75" customHeight="1">
      <c r="B931" s="6"/>
      <c r="D931" s="6"/>
    </row>
    <row r="932" ht="15.75" customHeight="1">
      <c r="B932" s="6"/>
      <c r="D932" s="6"/>
    </row>
    <row r="933" ht="15.75" customHeight="1">
      <c r="B933" s="6"/>
      <c r="D933" s="6"/>
    </row>
    <row r="934" ht="15.75" customHeight="1">
      <c r="B934" s="6"/>
      <c r="D934" s="6"/>
    </row>
    <row r="935" ht="15.75" customHeight="1">
      <c r="B935" s="6"/>
      <c r="D935" s="6"/>
    </row>
    <row r="936" ht="15.75" customHeight="1">
      <c r="B936" s="6"/>
      <c r="D936" s="6"/>
    </row>
    <row r="937" ht="15.75" customHeight="1">
      <c r="B937" s="6"/>
      <c r="D937" s="6"/>
    </row>
    <row r="938" ht="15.75" customHeight="1">
      <c r="B938" s="6"/>
      <c r="D938" s="6"/>
    </row>
    <row r="939" ht="15.75" customHeight="1">
      <c r="B939" s="6"/>
      <c r="D939" s="6"/>
    </row>
    <row r="940" ht="15.75" customHeight="1">
      <c r="B940" s="6"/>
      <c r="D940" s="6"/>
    </row>
    <row r="941" ht="15.75" customHeight="1">
      <c r="B941" s="6"/>
      <c r="D941" s="6"/>
    </row>
    <row r="942" ht="15.75" customHeight="1">
      <c r="B942" s="6"/>
      <c r="D942" s="6"/>
    </row>
    <row r="943" ht="15.75" customHeight="1">
      <c r="B943" s="6"/>
      <c r="D943" s="6"/>
    </row>
    <row r="944" ht="15.75" customHeight="1">
      <c r="B944" s="6"/>
      <c r="D944" s="6"/>
    </row>
    <row r="945" ht="15.75" customHeight="1">
      <c r="B945" s="6"/>
      <c r="D945" s="6"/>
    </row>
    <row r="946" ht="15.75" customHeight="1">
      <c r="B946" s="6"/>
      <c r="D946" s="6"/>
    </row>
    <row r="947" ht="15.75" customHeight="1">
      <c r="B947" s="6"/>
      <c r="D947" s="6"/>
    </row>
    <row r="948" ht="15.75" customHeight="1">
      <c r="B948" s="6"/>
      <c r="D948" s="6"/>
    </row>
    <row r="949" ht="15.75" customHeight="1">
      <c r="B949" s="6"/>
      <c r="D949" s="6"/>
    </row>
    <row r="950" ht="15.75" customHeight="1">
      <c r="B950" s="6"/>
      <c r="D950" s="6"/>
    </row>
    <row r="951" ht="15.75" customHeight="1">
      <c r="B951" s="6"/>
      <c r="D951" s="6"/>
    </row>
    <row r="952" ht="15.75" customHeight="1">
      <c r="B952" s="6"/>
      <c r="D952" s="6"/>
    </row>
    <row r="953" ht="15.75" customHeight="1">
      <c r="B953" s="6"/>
      <c r="D953" s="6"/>
    </row>
    <row r="954" ht="15.75" customHeight="1">
      <c r="B954" s="6"/>
      <c r="D954" s="6"/>
    </row>
    <row r="955" ht="15.75" customHeight="1">
      <c r="B955" s="6"/>
      <c r="D955" s="6"/>
    </row>
    <row r="956" ht="15.75" customHeight="1">
      <c r="B956" s="6"/>
      <c r="D956" s="6"/>
    </row>
    <row r="957" ht="15.75" customHeight="1">
      <c r="B957" s="6"/>
      <c r="D957" s="6"/>
    </row>
    <row r="958" ht="15.75" customHeight="1">
      <c r="B958" s="6"/>
      <c r="D958" s="6"/>
    </row>
    <row r="959" ht="15.75" customHeight="1">
      <c r="B959" s="6"/>
      <c r="D959" s="6"/>
    </row>
    <row r="960" ht="15.75" customHeight="1">
      <c r="B960" s="6"/>
      <c r="D960" s="6"/>
    </row>
    <row r="961" ht="15.75" customHeight="1">
      <c r="B961" s="6"/>
      <c r="D961" s="6"/>
    </row>
    <row r="962" ht="15.75" customHeight="1">
      <c r="B962" s="6"/>
      <c r="D962" s="6"/>
    </row>
    <row r="963" ht="15.75" customHeight="1">
      <c r="B963" s="6"/>
      <c r="D963" s="6"/>
    </row>
    <row r="964" ht="15.75" customHeight="1">
      <c r="B964" s="6"/>
      <c r="D964" s="6"/>
    </row>
    <row r="965" ht="15.75" customHeight="1">
      <c r="B965" s="6"/>
      <c r="D965" s="6"/>
    </row>
    <row r="966" ht="15.75" customHeight="1">
      <c r="B966" s="6"/>
      <c r="D966" s="6"/>
    </row>
    <row r="967" ht="15.75" customHeight="1">
      <c r="B967" s="6"/>
      <c r="D967" s="6"/>
    </row>
    <row r="968" ht="15.75" customHeight="1">
      <c r="B968" s="6"/>
      <c r="D968" s="6"/>
    </row>
    <row r="969" ht="15.75" customHeight="1">
      <c r="B969" s="6"/>
      <c r="D969" s="6"/>
    </row>
    <row r="970" ht="15.75" customHeight="1">
      <c r="B970" s="6"/>
      <c r="D970" s="6"/>
    </row>
    <row r="971" ht="15.75" customHeight="1">
      <c r="B971" s="6"/>
      <c r="D971" s="6"/>
    </row>
    <row r="972" ht="15.75" customHeight="1">
      <c r="B972" s="6"/>
      <c r="D972" s="6"/>
    </row>
    <row r="973" ht="15.75" customHeight="1">
      <c r="B973" s="6"/>
      <c r="D973" s="6"/>
    </row>
    <row r="974" ht="15.75" customHeight="1">
      <c r="B974" s="6"/>
      <c r="D974" s="6"/>
    </row>
    <row r="975" ht="15.75" customHeight="1">
      <c r="B975" s="6"/>
      <c r="D975" s="6"/>
    </row>
    <row r="976" ht="15.75" customHeight="1">
      <c r="B976" s="6"/>
      <c r="D976" s="6"/>
    </row>
    <row r="977" ht="15.75" customHeight="1">
      <c r="B977" s="6"/>
      <c r="D977" s="6"/>
    </row>
    <row r="978" ht="15.75" customHeight="1">
      <c r="B978" s="6"/>
      <c r="D978" s="6"/>
    </row>
    <row r="979" ht="15.75" customHeight="1">
      <c r="B979" s="6"/>
      <c r="D979" s="6"/>
    </row>
    <row r="980" ht="15.75" customHeight="1">
      <c r="B980" s="6"/>
      <c r="D980" s="6"/>
    </row>
    <row r="981" ht="15.75" customHeight="1">
      <c r="B981" s="6"/>
      <c r="D981" s="6"/>
    </row>
    <row r="982" ht="15.75" customHeight="1">
      <c r="B982" s="6"/>
      <c r="D982" s="6"/>
    </row>
    <row r="983" ht="15.75" customHeight="1">
      <c r="B983" s="6"/>
      <c r="D983" s="6"/>
    </row>
    <row r="984" ht="15.75" customHeight="1">
      <c r="B984" s="6"/>
      <c r="D984" s="6"/>
    </row>
    <row r="985" ht="15.75" customHeight="1">
      <c r="B985" s="6"/>
      <c r="D985" s="6"/>
    </row>
    <row r="986" ht="15.75" customHeight="1">
      <c r="B986" s="6"/>
      <c r="D986" s="6"/>
    </row>
    <row r="987" ht="15.75" customHeight="1">
      <c r="B987" s="6"/>
      <c r="D987" s="6"/>
    </row>
    <row r="988" ht="15.75" customHeight="1">
      <c r="B988" s="6"/>
      <c r="D988" s="6"/>
    </row>
    <row r="989" ht="15.75" customHeight="1">
      <c r="B989" s="6"/>
      <c r="D989" s="6"/>
    </row>
    <row r="990" ht="15.75" customHeight="1">
      <c r="B990" s="6"/>
      <c r="D990" s="6"/>
    </row>
    <row r="991" ht="15.75" customHeight="1">
      <c r="B991" s="6"/>
      <c r="D991" s="6"/>
    </row>
    <row r="992" ht="15.75" customHeight="1">
      <c r="B992" s="6"/>
      <c r="D992" s="6"/>
    </row>
    <row r="993" ht="15.75" customHeight="1">
      <c r="B993" s="6"/>
      <c r="D993" s="6"/>
    </row>
    <row r="994" ht="15.75" customHeight="1">
      <c r="B994" s="6"/>
      <c r="D994" s="6"/>
    </row>
    <row r="995" ht="15.75" customHeight="1">
      <c r="B995" s="6"/>
      <c r="D995" s="6"/>
    </row>
    <row r="996" ht="15.75" customHeight="1">
      <c r="B996" s="6"/>
      <c r="D996" s="6"/>
    </row>
    <row r="997" ht="15.75" customHeight="1">
      <c r="B997" s="6"/>
      <c r="D997" s="6"/>
    </row>
    <row r="998" ht="15.75" customHeight="1">
      <c r="B998" s="6"/>
      <c r="D998" s="6"/>
    </row>
    <row r="999" ht="15.75" customHeight="1">
      <c r="B999" s="6"/>
      <c r="D999" s="6"/>
    </row>
    <row r="1000" ht="15.75" customHeight="1">
      <c r="B1000" s="6"/>
      <c r="D1000" s="6"/>
    </row>
  </sheetData>
  <mergeCells count="3">
    <mergeCell ref="A1:D1"/>
    <mergeCell ref="C2:C9"/>
    <mergeCell ref="D3:D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7.38"/>
    <col customWidth="1" min="3" max="3" width="24.0"/>
    <col customWidth="1" min="4" max="4" width="43.38"/>
    <col customWidth="1" min="5" max="5" width="17.0"/>
    <col customWidth="1" min="6" max="6" width="33.0"/>
  </cols>
  <sheetData>
    <row r="1" ht="15.75" customHeight="1">
      <c r="A1" s="64" t="s">
        <v>47</v>
      </c>
      <c r="B1" s="64" t="s">
        <v>48</v>
      </c>
      <c r="C1" s="64" t="s">
        <v>5</v>
      </c>
      <c r="D1" s="64" t="s">
        <v>49</v>
      </c>
      <c r="E1" s="64" t="s">
        <v>3</v>
      </c>
      <c r="F1" s="64" t="s">
        <v>15</v>
      </c>
    </row>
    <row r="2" ht="15.75" customHeight="1">
      <c r="A2" s="65">
        <v>1.0</v>
      </c>
      <c r="B2" s="66" t="s">
        <v>50</v>
      </c>
      <c r="C2" s="67" t="s">
        <v>51</v>
      </c>
      <c r="D2" s="68" t="s">
        <v>52</v>
      </c>
      <c r="E2" s="69" t="s">
        <v>53</v>
      </c>
      <c r="F2" s="68" t="s">
        <v>22</v>
      </c>
    </row>
    <row r="3" ht="15.75" customHeight="1">
      <c r="A3" s="65">
        <v>2.0</v>
      </c>
      <c r="B3" s="66" t="s">
        <v>54</v>
      </c>
      <c r="C3" s="67" t="s">
        <v>55</v>
      </c>
      <c r="D3" s="68" t="s">
        <v>52</v>
      </c>
      <c r="E3" s="69" t="s">
        <v>56</v>
      </c>
      <c r="F3" s="68" t="s">
        <v>31</v>
      </c>
    </row>
    <row r="4" ht="15.75" customHeight="1">
      <c r="A4" s="65">
        <v>3.0</v>
      </c>
      <c r="B4" s="66" t="s">
        <v>57</v>
      </c>
      <c r="C4" s="67" t="s">
        <v>58</v>
      </c>
      <c r="D4" s="68" t="s">
        <v>52</v>
      </c>
      <c r="E4" s="69" t="s">
        <v>59</v>
      </c>
      <c r="F4" s="68" t="s">
        <v>60</v>
      </c>
    </row>
    <row r="5" ht="15.75" customHeight="1">
      <c r="A5" s="65">
        <v>4.0</v>
      </c>
      <c r="B5" s="66" t="s">
        <v>61</v>
      </c>
      <c r="C5" s="67" t="s">
        <v>62</v>
      </c>
      <c r="D5" s="68" t="s">
        <v>52</v>
      </c>
      <c r="E5" s="69" t="s">
        <v>63</v>
      </c>
      <c r="F5" s="68" t="s">
        <v>64</v>
      </c>
    </row>
    <row r="6" ht="15.75" customHeight="1">
      <c r="A6" s="65">
        <v>5.0</v>
      </c>
      <c r="B6" s="66" t="s">
        <v>65</v>
      </c>
      <c r="C6" s="67" t="s">
        <v>66</v>
      </c>
      <c r="D6" s="68" t="s">
        <v>52</v>
      </c>
      <c r="E6" s="69" t="s">
        <v>67</v>
      </c>
      <c r="F6" s="68" t="s">
        <v>68</v>
      </c>
    </row>
    <row r="7" ht="15.75" customHeight="1">
      <c r="A7" s="65">
        <v>6.0</v>
      </c>
      <c r="B7" s="66" t="s">
        <v>69</v>
      </c>
      <c r="C7" s="67" t="s">
        <v>70</v>
      </c>
      <c r="D7" s="68" t="s">
        <v>52</v>
      </c>
      <c r="E7" s="69" t="s">
        <v>71</v>
      </c>
      <c r="F7" s="68" t="s">
        <v>72</v>
      </c>
    </row>
    <row r="8" ht="15.75" customHeight="1">
      <c r="A8" s="65">
        <v>7.0</v>
      </c>
      <c r="B8" s="66" t="s">
        <v>73</v>
      </c>
      <c r="C8" s="67" t="s">
        <v>74</v>
      </c>
      <c r="D8" s="68" t="s">
        <v>52</v>
      </c>
      <c r="E8" s="69" t="s">
        <v>75</v>
      </c>
      <c r="F8" s="68" t="s">
        <v>76</v>
      </c>
    </row>
    <row r="9" ht="15.75" customHeight="1">
      <c r="A9" s="65">
        <v>8.0</v>
      </c>
      <c r="B9" s="66" t="s">
        <v>77</v>
      </c>
      <c r="C9" s="67" t="s">
        <v>78</v>
      </c>
      <c r="D9" s="68" t="s">
        <v>79</v>
      </c>
      <c r="E9" s="69" t="s">
        <v>80</v>
      </c>
      <c r="F9" s="68" t="s">
        <v>81</v>
      </c>
    </row>
    <row r="10" ht="15.75" customHeight="1">
      <c r="A10" s="65">
        <v>9.0</v>
      </c>
      <c r="B10" s="66" t="s">
        <v>82</v>
      </c>
      <c r="C10" s="67" t="s">
        <v>83</v>
      </c>
      <c r="D10" s="68" t="s">
        <v>79</v>
      </c>
      <c r="E10" s="69" t="s">
        <v>84</v>
      </c>
      <c r="F10" s="68" t="s">
        <v>85</v>
      </c>
    </row>
    <row r="11" ht="15.75" customHeight="1">
      <c r="A11" s="65">
        <v>10.0</v>
      </c>
      <c r="B11" s="66" t="s">
        <v>86</v>
      </c>
      <c r="C11" s="67" t="s">
        <v>51</v>
      </c>
      <c r="D11" s="68" t="s">
        <v>87</v>
      </c>
      <c r="E11" s="69" t="s">
        <v>88</v>
      </c>
      <c r="F11" s="68" t="s">
        <v>89</v>
      </c>
    </row>
    <row r="12" ht="15.75" customHeight="1">
      <c r="A12" s="65">
        <v>11.0</v>
      </c>
      <c r="B12" s="66" t="s">
        <v>90</v>
      </c>
      <c r="C12" s="67" t="s">
        <v>55</v>
      </c>
      <c r="D12" s="68" t="s">
        <v>79</v>
      </c>
      <c r="E12" s="69" t="s">
        <v>91</v>
      </c>
      <c r="F12" s="68" t="s">
        <v>92</v>
      </c>
    </row>
    <row r="13" ht="15.75" customHeight="1">
      <c r="A13" s="65">
        <v>12.0</v>
      </c>
      <c r="B13" s="66" t="s">
        <v>93</v>
      </c>
      <c r="C13" s="67" t="s">
        <v>94</v>
      </c>
      <c r="D13" s="68" t="s">
        <v>87</v>
      </c>
      <c r="E13" s="69" t="s">
        <v>95</v>
      </c>
      <c r="F13" s="68" t="s">
        <v>96</v>
      </c>
    </row>
    <row r="14" ht="15.75" customHeight="1">
      <c r="A14" s="65">
        <v>13.0</v>
      </c>
      <c r="B14" s="66" t="s">
        <v>97</v>
      </c>
      <c r="C14" s="67" t="s">
        <v>98</v>
      </c>
      <c r="D14" s="68" t="s">
        <v>52</v>
      </c>
      <c r="E14" s="69" t="s">
        <v>99</v>
      </c>
      <c r="F14" s="68"/>
    </row>
    <row r="15" ht="15.75" customHeight="1">
      <c r="A15" s="65">
        <v>14.0</v>
      </c>
      <c r="B15" s="66" t="s">
        <v>100</v>
      </c>
      <c r="C15" s="67" t="s">
        <v>83</v>
      </c>
      <c r="D15" s="68" t="s">
        <v>52</v>
      </c>
      <c r="E15" s="69" t="s">
        <v>101</v>
      </c>
      <c r="F15" s="68"/>
    </row>
    <row r="16" ht="15.75" customHeight="1">
      <c r="A16" s="65">
        <v>15.0</v>
      </c>
      <c r="B16" s="66" t="s">
        <v>102</v>
      </c>
      <c r="C16" s="67" t="s">
        <v>103</v>
      </c>
      <c r="D16" s="68" t="s">
        <v>52</v>
      </c>
      <c r="E16" s="69" t="s">
        <v>104</v>
      </c>
      <c r="F16" s="68"/>
    </row>
    <row r="17" ht="15.75" customHeight="1">
      <c r="A17" s="65">
        <v>16.0</v>
      </c>
      <c r="B17" s="66" t="s">
        <v>105</v>
      </c>
      <c r="C17" s="67" t="s">
        <v>106</v>
      </c>
      <c r="D17" s="68" t="s">
        <v>52</v>
      </c>
      <c r="E17" s="69" t="s">
        <v>107</v>
      </c>
      <c r="F17" s="68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2025-01-21T16:33:04Z</dcterms:created>
  <dc:creator>ORSINI ROBERTO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