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<sst xmlns="http://schemas.openxmlformats.org/spreadsheetml/2006/main" count="205" uniqueCount="148">
  <si>
    <t xml:space="preserve">GRUPPO TW</t>
  </si>
  <si>
    <t xml:space="preserve">REFERENTE ACQUISTI</t>
  </si>
  <si>
    <t xml:space="preserve">Dorigo Federico</t>
  </si>
  <si>
    <t xml:space="preserve">COORDINATORE</t>
  </si>
  <si>
    <t xml:space="preserve">Orsini Roberto</t>
  </si>
  <si>
    <t xml:space="preserve">SEDE</t>
  </si>
  <si>
    <t xml:space="preserve">MTB</t>
  </si>
  <si>
    <t xml:space="preserve">INDIRIZZO SEDE</t>
  </si>
  <si>
    <t xml:space="preserve">via J. Sansovino 6 Montebelluna (TV)</t>
  </si>
  <si>
    <t xml:space="preserve">CODICE PROGETTO</t>
  </si>
  <si>
    <t xml:space="preserve">6131 3 808 2024</t>
  </si>
  <si>
    <t xml:space="preserve">N° ORDINE</t>
  </si>
  <si>
    <t xml:space="preserve">-</t>
  </si>
  <si>
    <t xml:space="preserve">NUMERO ARTICOLO</t>
  </si>
  <si>
    <t xml:space="preserve">DESCRIZIONE</t>
  </si>
  <si>
    <t xml:space="preserve">CODICE ARTICOLO
 FORNITORE</t>
  </si>
  <si>
    <t xml:space="preserve">FORNITORE</t>
  </si>
  <si>
    <t xml:space="preserve">N° PEZZI</t>
  </si>
  <si>
    <t xml:space="preserve">PREZZO PER UNITA'
(IVA ESCLUSA)</t>
  </si>
  <si>
    <t xml:space="preserve">TOTALE
(IVA ESCLUSA)</t>
  </si>
  <si>
    <t xml:space="preserve">NOTE
( ES. MISURE - COLORE - TAGLIO )</t>
  </si>
  <si>
    <t xml:space="preserve">sensori effetto hall</t>
  </si>
  <si>
    <t xml:space="preserve">2850-HALLSENSOR</t>
  </si>
  <si>
    <t xml:space="preserve">futura elettronica</t>
  </si>
  <si>
    <t xml:space="preserve">Sensore effetto Hall per ralla e homing tramite uno spillo</t>
  </si>
  <si>
    <t xml:space="preserve">Motore passo-passo bipolare</t>
  </si>
  <si>
    <t xml:space="preserve">1606-23HS5628-8</t>
  </si>
  <si>
    <t xml:space="preserve">Motore passo-passo bipolare NEMA 17 – 2,5 A </t>
  </si>
  <si>
    <t xml:space="preserve">Driver per motore passo-passo</t>
  </si>
  <si>
    <t xml:space="preserve">8218-DRV8825</t>
  </si>
  <si>
    <t xml:space="preserve">Driver per motore passo-passo bipolare 2,2A per bobina, 45V max logica 3,3V-5,5V</t>
  </si>
  <si>
    <t xml:space="preserve">Scheda elettronica per Cella di carico - HX711</t>
  </si>
  <si>
    <t xml:space="preserve">3085-HX711BOARD</t>
  </si>
  <si>
    <t xml:space="preserve">Scheda elettronica basata sul chip HX711, un convertitore analogico-digitale a 24 bit, specifico per interfacciare la cella di carico, due celle collegabili (2 canali). Amplificatori di segnali individuali per singolo canale</t>
  </si>
  <si>
    <t xml:space="preserve">Cella di carico 1 kg</t>
  </si>
  <si>
    <t xml:space="preserve">1606-1KGLOADCELL</t>
  </si>
  <si>
    <t xml:space="preserve">Cella di carico per misurare la quantità di caffè e di capsule all'interno del macchianario</t>
  </si>
  <si>
    <t xml:space="preserve">Ventola 24 Vdc 80x80x25 mm</t>
  </si>
  <si>
    <t xml:space="preserve">6600-BSS24</t>
  </si>
  <si>
    <t xml:space="preserve">Ventola brushless d'ingresso e uscita per l'aria per il raffreddamento e il ricircolo del macchianario</t>
  </si>
  <si>
    <t xml:space="preserve">Arduino Shield TFT touch screen 3.5"</t>
  </si>
  <si>
    <t xml:space="preserve">2850-3.5INCHSHIELD</t>
  </si>
  <si>
    <t xml:space="preserve">Display touch per HMI modalità SPI max 40MHz</t>
  </si>
  <si>
    <t xml:space="preserve">Modulo DC-DC Step-Down regolabile 4,5-28 volt 3A</t>
  </si>
  <si>
    <t xml:space="preserve">3085-MP1584ADJ</t>
  </si>
  <si>
    <t xml:space="preserve">Step-down per microchip</t>
  </si>
  <si>
    <t xml:space="preserve">Staffa per motori passo-passo NEMA17</t>
  </si>
  <si>
    <t xml:space="preserve">2846-SMXNEMA17</t>
  </si>
  <si>
    <t xml:space="preserve">staffa per nema 17</t>
  </si>
  <si>
    <t xml:space="preserve">cuscinetto sferico</t>
  </si>
  <si>
    <t xml:space="preserve">750-8703</t>
  </si>
  <si>
    <t xml:space="preserve">RS Italia</t>
  </si>
  <si>
    <t xml:space="preserve">Cuscinetto sferico, RS PRO, Ø interno 20mm, Ø esterno 47mm, carico statico 630kgf, in Acciaio</t>
  </si>
  <si>
    <t xml:space="preserve">cuscinetto sferico radiale</t>
  </si>
  <si>
    <t xml:space="preserve">286-7849</t>
  </si>
  <si>
    <t xml:space="preserve">Cuscinetto a sfera Cuscinetti radiali a una corona di sfere SKF in Acciaio, Ø int. 6mm, Ø est. 19mm, Largh. guida 6mm</t>
  </si>
  <si>
    <t xml:space="preserve">Vite trapezoidale da 8mm p2mm 500mm con chiocciola</t>
  </si>
  <si>
    <t xml:space="preserve">26846-VITET8P2-500</t>
  </si>
  <si>
    <t xml:space="preserve">Arrivato</t>
  </si>
  <si>
    <t xml:space="preserve">Servo analogico con ingranaggi in metallo e completo di accessori. Alimentazione: da 4,8 VDC a 6 VDC, coppia di torsione: 9,4 kg•cm (4.8V) – 11 kg•cm (6V), angolo di rotazione: 360°, velocità a 4,8V: 0,19 secondi/60° senza carico, velocità a 6V: 0,15 secondi/60° senza carico. Dimensioni (mm): 42,7×40,9×20, peso: 55 grammi, temperatura di funzionamento: da 0°C a +60°C.</t>
  </si>
  <si>
    <t xml:space="preserve">1606-MG996R</t>
  </si>
  <si>
    <t xml:space="preserve">7300-STEPMOT3DRAG</t>
  </si>
  <si>
    <t xml:space="preserve">Servo motore 9.4kg/cm ingranaggi metallo 360°</t>
  </si>
  <si>
    <t xml:space="preserve">Profilo struttura RS PRO in Alluminio, Anodizzato, 30 x 30 mm x 2m</t>
  </si>
  <si>
    <t xml:space="preserve">264-7863</t>
  </si>
  <si>
    <t xml:space="preserve">RS COMPONENTS</t>
  </si>
  <si>
    <t xml:space="preserve">751-455</t>
  </si>
  <si>
    <t xml:space="preserve">Cuscinetto flangiato, Igus RJUM-06-12, Ø interno 12mm, carico dinamico 960N, statico 6720N, dimensioni 39 x 43 x 35mm</t>
  </si>
  <si>
    <t xml:space="preserve">617-4696</t>
  </si>
  <si>
    <t xml:space="preserve">Giunto in alluminio 5 mm – 8 mm</t>
  </si>
  <si>
    <t xml:space="preserve">8300-HUB5MM8</t>
  </si>
  <si>
    <t xml:space="preserve">FUTURA ELETTRONICA (FUTURA GROUP)</t>
  </si>
  <si>
    <t xml:space="preserve">Interruttore DIP NDS-03-V, SPST, 25 mA, 3 posizioni, attuatore a Rialzato, Foro passante</t>
  </si>
  <si>
    <t xml:space="preserve">NDS-03-V</t>
  </si>
  <si>
    <t xml:space="preserve">È 1 sacchetto da 5 componenti</t>
  </si>
  <si>
    <t xml:space="preserve">Copertura protettiva ebm-papst in Plastica, 80 x 80mm, ventola da 80mm</t>
  </si>
  <si>
    <t xml:space="preserve">92162-2-2929</t>
  </si>
  <si>
    <t xml:space="preserve">Raspberry Pi 5 versione con 16 GB di memoria</t>
  </si>
  <si>
    <t xml:space="preserve">7310-RPI5-16GB</t>
  </si>
  <si>
    <t xml:space="preserve">Servo motore 10.5kg/cm ingranaggi metallo 180°</t>
  </si>
  <si>
    <t xml:space="preserve">8300-MG946R</t>
  </si>
  <si>
    <t xml:space="preserve">Intenso High Performance Scheda microSDHC 8 GB Class 10 incl. Adattatore S</t>
  </si>
  <si>
    <t xml:space="preserve">CONRAD</t>
  </si>
  <si>
    <t xml:space="preserve">Kingston Canvas Select Plus Scheda microSDXC 128 GB Class 10 UHS-I</t>
  </si>
  <si>
    <t xml:space="preserve">SDCS2/128GBSP</t>
  </si>
  <si>
    <t xml:space="preserve">SanDisk microSDXC Ultra 64GB (A1/UHS-I/Cl.10/140MB/s) + Adapter "Mobile" Scheda microSDXC 64 GB A1 Application Performan</t>
  </si>
  <si>
    <t xml:space="preserve">SDSQUAB-064G-GN6MA</t>
  </si>
  <si>
    <t xml:space="preserve">Angolare 90° in alluminio pressofuso</t>
  </si>
  <si>
    <t xml:space="preserve">7350-ANG90ALLU</t>
  </si>
  <si>
    <t xml:space="preserve">Cramolin GRAPHIT 1281411 Lacca 200 ml</t>
  </si>
  <si>
    <t xml:space="preserve">820571-62</t>
  </si>
  <si>
    <t xml:space="preserve">Filamento per stampante 3D NANOVIA, PET-G, Nero, diam. 1.75mm</t>
  </si>
  <si>
    <t xml:space="preserve">635-147</t>
  </si>
  <si>
    <t xml:space="preserve">10 dischi magnetici 8x3 mm</t>
  </si>
  <si>
    <t xml:space="preserve">8220-MAGNET5</t>
  </si>
  <si>
    <t xml:space="preserve">Diodo DiodesZetex, Foro passante, 10 A, 100 V, TO-220, Bassa dispersione, 3 Pin</t>
  </si>
  <si>
    <t xml:space="preserve">SDT10A100CT</t>
  </si>
  <si>
    <t xml:space="preserve">è una confezione da 10, quindi solo 1 confezione</t>
  </si>
  <si>
    <t xml:space="preserve">Contatto a crimpare JST PH Totale poli 1 BPH-002T-P0.5S 1 pz.</t>
  </si>
  <si>
    <t xml:space="preserve">BPH-002T-P0.5S</t>
  </si>
  <si>
    <t xml:space="preserve">l’ordine minimo è di 50, quindi è l’ordine minimo</t>
  </si>
  <si>
    <t xml:space="preserve">Connettore maschio da incasso (standard) JST PH Totale poli 8 Passo: 2 mm S8B-PH-SM4-TB (LF)(SN) 1 pz.</t>
  </si>
  <si>
    <t xml:space="preserve">S8B-PH-SM4-TB (LF)(SN)</t>
  </si>
  <si>
    <t xml:space="preserve">è una confezione da 5, quindi solo 1 confezione</t>
  </si>
  <si>
    <t xml:space="preserve">Connettore maschio da incasso (standard) JST PH Totale poli 4 Passo: 2 mm S4B-PH-SM4-TB (LF)(SN) 1 pz.</t>
  </si>
  <si>
    <t xml:space="preserve">S4B-PH-SM4-TB (LF)(SN)</t>
  </si>
  <si>
    <t xml:space="preserve">è una confezione da 7, quindi solo 1 confezione</t>
  </si>
  <si>
    <t xml:space="preserve">Connettore maschio da incasso (standard) JST PH Totale poli 3 Passo: 2 mm S3B-PH-SM4-TB (LF)(SN) 1 pz.</t>
  </si>
  <si>
    <t xml:space="preserve">S3B-PH-SM4-TB (LF)(SN)</t>
  </si>
  <si>
    <t xml:space="preserve">Connettore maschio da incasso (standard) JST PH Totale poli 2 Passo: 2 mm S2B-PH-SM4-TB (LF)(SN) 1 pz.</t>
  </si>
  <si>
    <t xml:space="preserve">S2B-PH-SM4-TB (LF)(SN)</t>
  </si>
  <si>
    <t xml:space="preserve">Fischer Elektronik Connettore maschio (standard) Numero di righe: 1 Poli per fila: 20 SL LP 5 SMD 051/ 20/S 1 pz.</t>
  </si>
  <si>
    <t xml:space="preserve">SL LP 5 SMD 051/ 20/S</t>
  </si>
  <si>
    <t xml:space="preserve">Portabatterie 9V PP3, montaggio PCB, contatti Montaggio su circuito stampato</t>
  </si>
  <si>
    <t xml:space="preserve">185-4728</t>
  </si>
  <si>
    <t xml:space="preserve">Batteria 9V RS PRO, 1.2Ah, Litio diossido di manganese</t>
  </si>
  <si>
    <t xml:space="preserve">784-5992</t>
  </si>
  <si>
    <t xml:space="preserve">Condensatore RS PRO, 4700μF, 35V cc, ±20%, 105°C, Radiale, Foro passante</t>
  </si>
  <si>
    <t xml:space="preserve">711-1374</t>
  </si>
  <si>
    <t xml:space="preserve">è una confezione da 2, quindi solo 1 confezione</t>
  </si>
  <si>
    <t xml:space="preserve">Condensatore RS PRO, 470μF, 35V cc, ±20%, 105°C, Radiale, Foro passante</t>
  </si>
  <si>
    <t xml:space="preserve">711-1299</t>
  </si>
  <si>
    <t xml:space="preserve">Potenziometro trimmer Bourns, 5kΩ, 12 giri, Regolazione dall'alto, Su foro</t>
  </si>
  <si>
    <t xml:space="preserve">769-2243</t>
  </si>
  <si>
    <t xml:space="preserve">Adattatore AC/DC RS PRO 24V cc, 3A, spina IEC 320 C14</t>
  </si>
  <si>
    <t xml:space="preserve">204-7566</t>
  </si>
  <si>
    <t xml:space="preserve">Presa DC da pannello 5,5 x 2,1 mm</t>
  </si>
  <si>
    <t xml:space="preserve">1606-DCPLUG</t>
  </si>
  <si>
    <t xml:space="preserve">Case per Raspberry Pi Raspberry Pi ABS serie Pi Case, per Raspberry Pi 5 Nero</t>
  </si>
  <si>
    <t xml:space="preserve">219-256</t>
  </si>
  <si>
    <t xml:space="preserve">Alimentatore per Raspberry Pi Raspberry Pi, presa USB di tipo C con Connettore maschio EU, cavo da 1.2m</t>
  </si>
  <si>
    <t xml:space="preserve">219-261</t>
  </si>
  <si>
    <t xml:space="preserve">Morsettiera per cavo JST PHR Totale poli 8 Passo: 2 mm PHR-8 1 pz.</t>
  </si>
  <si>
    <t xml:space="preserve">PHR-8</t>
  </si>
  <si>
    <t xml:space="preserve">15 è il numero minimo di pezzi ordinabile</t>
  </si>
  <si>
    <t xml:space="preserve">Morsettiera per cavo JST PHR Totale poli 4 Passo: 2 mm PHR-4 1 pz.</t>
  </si>
  <si>
    <t xml:space="preserve">PHR-4</t>
  </si>
  <si>
    <t xml:space="preserve">30 è il numero minimo di pezzi ordinabile</t>
  </si>
  <si>
    <t xml:space="preserve">Morsettiera per cavo JST PHR Totale poli 3 Passo: 2 mm PHR-3 1 pz.</t>
  </si>
  <si>
    <t xml:space="preserve">PHR-3</t>
  </si>
  <si>
    <t xml:space="preserve">Morsettiera per cavo JST PHR Totale poli 2 Passo: 2 mm PHR-2 1 pz.</t>
  </si>
  <si>
    <t xml:space="preserve">PHR-2</t>
  </si>
  <si>
    <t xml:space="preserve">Totale</t>
  </si>
  <si>
    <t xml:space="preserve">3M 3302/20 100 SF Cavo piatto Passo: 1.27 mm 20 x 0.08 mm² Colorato Merce a metro</t>
  </si>
  <si>
    <t xml:space="preserve">3302/20 100 SF</t>
  </si>
  <si>
    <t xml:space="preserve">1 unità equivale a 1 metro</t>
  </si>
  <si>
    <t xml:space="preserve">schei  totali</t>
  </si>
  <si>
    <t xml:space="preserve">1086-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</si>
</sst>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&quot; €&quot;"/>
    <numFmt numFmtId="167" formatCode="#,##0.00\€"/>
    <numFmt numFmtId="168" formatCode="[$€-2]\ 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FFFFFF"/>
      </patternFill>
    </fill>
    <fill>
      <patternFill patternType="solid">
        <fgColor rgb="FFCCCCC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CCCCC"/>
      </patternFill>
    </fill>
    <fill>
      <patternFill patternType="solid">
        <fgColor rgb="FF81D41A"/>
        <bgColor rgb="FF969696"/>
      </patternFill>
    </fill>
    <fill>
      <patternFill patternType="solid">
        <fgColor rgb="FFFFFFFF"/>
        <bgColor rgb="FFEAF1DD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999"/>
  <sheetViews>
    <sheetView showFormulas="false" showGridLines="true" showRowColHeaders="true" showZeros="true" rightToLeft="false" tabSelected="true" showOutlineSymbols="true" defaultGridColor="true" view="normal" topLeftCell="A34" colorId="64" zoomScale="65" zoomScaleNormal="65" zoomScalePageLayoutView="100" workbookViewId="0">
      <selection pane="topLeft" activeCell="B49" activeCellId="0" sqref="B4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1.25"/>
    <col collapsed="false" customWidth="true" hidden="false" outlineLevel="0" max="3" min="3" style="0" width="22.38"/>
    <col collapsed="false" customWidth="true" hidden="false" outlineLevel="0" max="4" min="4" style="0" width="19.63"/>
    <col collapsed="false" customWidth="true" hidden="false" outlineLevel="0" max="5" min="5" style="0" width="25.75"/>
    <col collapsed="false" customWidth="true" hidden="false" outlineLevel="0" max="6" min="6" style="0" width="41.13"/>
    <col collapsed="false" customWidth="true" hidden="false" outlineLevel="0" max="9" min="9" style="0" width="45.25"/>
    <col collapsed="false" customWidth="true" hidden="false" outlineLevel="0" max="10" min="10" style="0" width="21.88"/>
    <col collapsed="false" customWidth="true" hidden="false" outlineLevel="0" max="11" min="11" style="0" width="20.25"/>
    <col collapsed="false" customWidth="true" hidden="false" outlineLevel="0" max="12" min="12" style="0" width="17.38"/>
    <col collapsed="false" customWidth="true" hidden="false" outlineLevel="0" max="16" min="16" style="0" width="54.12"/>
  </cols>
  <sheetData>
    <row r="1" customFormat="false" ht="15.75" hidden="false" customHeight="true" outlineLevel="0" collapsed="false">
      <c r="A1" s="1" t="s">
        <v>0</v>
      </c>
      <c r="B1" s="2" t="n">
        <v>1</v>
      </c>
      <c r="C1" s="2"/>
      <c r="D1" s="2"/>
      <c r="E1" s="1" t="s">
        <v>1</v>
      </c>
      <c r="F1" s="3" t="s">
        <v>2</v>
      </c>
      <c r="G1" s="3"/>
      <c r="H1" s="3"/>
      <c r="I1" s="4"/>
      <c r="J1" s="1" t="s">
        <v>3</v>
      </c>
      <c r="K1" s="3" t="s">
        <v>4</v>
      </c>
      <c r="L1" s="3"/>
      <c r="M1" s="5"/>
      <c r="N1" s="5"/>
      <c r="O1" s="5"/>
      <c r="P1" s="5"/>
    </row>
    <row r="2" customFormat="false" ht="15.75" hidden="false" customHeight="true" outlineLevel="0" collapsed="false">
      <c r="A2" s="6"/>
      <c r="B2" s="7"/>
      <c r="C2" s="7"/>
      <c r="D2" s="7"/>
      <c r="E2" s="6"/>
      <c r="F2" s="6"/>
      <c r="G2" s="6"/>
      <c r="H2" s="6"/>
      <c r="I2" s="6"/>
      <c r="J2" s="6"/>
      <c r="K2" s="6"/>
      <c r="L2" s="6"/>
      <c r="M2" s="5"/>
      <c r="N2" s="5"/>
      <c r="O2" s="5"/>
      <c r="P2" s="5"/>
    </row>
    <row r="3" customFormat="false" ht="15.75" hidden="false" customHeight="true" outlineLevel="0" collapsed="false">
      <c r="A3" s="1" t="s">
        <v>5</v>
      </c>
      <c r="B3" s="2" t="s">
        <v>6</v>
      </c>
      <c r="C3" s="2"/>
      <c r="D3" s="2"/>
      <c r="E3" s="1" t="s">
        <v>7</v>
      </c>
      <c r="F3" s="3" t="s">
        <v>8</v>
      </c>
      <c r="G3" s="3"/>
      <c r="H3" s="3"/>
      <c r="I3" s="4"/>
      <c r="J3" s="1" t="s">
        <v>9</v>
      </c>
      <c r="K3" s="8"/>
      <c r="L3" s="6" t="s">
        <v>10</v>
      </c>
      <c r="M3" s="5"/>
      <c r="N3" s="5"/>
      <c r="O3" s="5"/>
      <c r="P3" s="5"/>
    </row>
    <row r="4" customFormat="false" ht="15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  <c r="P4" s="5"/>
    </row>
    <row r="5" customFormat="false" ht="15.75" hidden="false" customHeight="true" outlineLevel="0" collapsed="false">
      <c r="A5" s="1" t="s">
        <v>11</v>
      </c>
      <c r="B5" s="2" t="s">
        <v>12</v>
      </c>
      <c r="C5" s="2"/>
      <c r="D5" s="2"/>
      <c r="E5" s="9"/>
      <c r="F5" s="9"/>
      <c r="G5" s="9"/>
      <c r="H5" s="9"/>
      <c r="I5" s="9"/>
      <c r="J5" s="9"/>
      <c r="K5" s="9"/>
      <c r="L5" s="9"/>
      <c r="M5" s="5"/>
      <c r="N5" s="5"/>
      <c r="O5" s="5"/>
      <c r="P5" s="5"/>
    </row>
    <row r="6" customFormat="false" ht="15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5"/>
      <c r="P6" s="5"/>
    </row>
    <row r="7" customFormat="false" ht="15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5"/>
      <c r="N7" s="5"/>
      <c r="O7" s="5"/>
      <c r="P7" s="5"/>
    </row>
    <row r="8" customFormat="false" ht="15.75" hidden="false" customHeight="true" outlineLevel="0" collapsed="false">
      <c r="A8" s="11" t="s">
        <v>13</v>
      </c>
      <c r="B8" s="11" t="s">
        <v>14</v>
      </c>
      <c r="C8" s="11"/>
      <c r="D8" s="11"/>
      <c r="E8" s="11"/>
      <c r="F8" s="11"/>
      <c r="G8" s="12" t="s">
        <v>15</v>
      </c>
      <c r="H8" s="12"/>
      <c r="I8" s="11" t="s">
        <v>16</v>
      </c>
      <c r="J8" s="11" t="s">
        <v>17</v>
      </c>
      <c r="K8" s="11" t="s">
        <v>18</v>
      </c>
      <c r="L8" s="11" t="s">
        <v>19</v>
      </c>
      <c r="M8" s="11" t="s">
        <v>20</v>
      </c>
      <c r="N8" s="11"/>
      <c r="O8" s="11"/>
      <c r="P8" s="11"/>
    </row>
    <row r="9" customFormat="false" ht="15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25.5" hidden="false" customHeight="true" outlineLevel="0" collapsed="false">
      <c r="A10" s="14" t="n">
        <v>1</v>
      </c>
      <c r="B10" s="15" t="s">
        <v>21</v>
      </c>
      <c r="C10" s="15"/>
      <c r="D10" s="15"/>
      <c r="E10" s="15"/>
      <c r="F10" s="15"/>
      <c r="G10" s="16" t="s">
        <v>22</v>
      </c>
      <c r="H10" s="16"/>
      <c r="I10" s="17" t="s">
        <v>23</v>
      </c>
      <c r="J10" s="18" t="n">
        <v>3</v>
      </c>
      <c r="K10" s="19" t="n">
        <v>4.5</v>
      </c>
      <c r="L10" s="19" t="n">
        <f aca="false">K10*J10</f>
        <v>13.5</v>
      </c>
      <c r="M10" s="20" t="s">
        <v>24</v>
      </c>
      <c r="N10" s="20"/>
      <c r="O10" s="20"/>
      <c r="P10" s="20"/>
    </row>
    <row r="11" customFormat="false" ht="27.75" hidden="false" customHeight="true" outlineLevel="0" collapsed="false">
      <c r="A11" s="14" t="n">
        <v>2</v>
      </c>
      <c r="B11" s="15" t="s">
        <v>25</v>
      </c>
      <c r="C11" s="15"/>
      <c r="D11" s="15"/>
      <c r="E11" s="15"/>
      <c r="F11" s="15"/>
      <c r="G11" s="16" t="s">
        <v>26</v>
      </c>
      <c r="H11" s="16"/>
      <c r="I11" s="17" t="s">
        <v>23</v>
      </c>
      <c r="J11" s="14" t="n">
        <v>2</v>
      </c>
      <c r="K11" s="19" t="n">
        <v>29</v>
      </c>
      <c r="L11" s="21" t="n">
        <v>48</v>
      </c>
      <c r="M11" s="20" t="s">
        <v>27</v>
      </c>
      <c r="N11" s="20"/>
      <c r="O11" s="20"/>
      <c r="P11" s="20"/>
    </row>
    <row r="12" customFormat="false" ht="27.75" hidden="false" customHeight="true" outlineLevel="0" collapsed="false">
      <c r="A12" s="14" t="n">
        <v>3</v>
      </c>
      <c r="B12" s="15" t="s">
        <v>28</v>
      </c>
      <c r="C12" s="15"/>
      <c r="D12" s="15"/>
      <c r="E12" s="15"/>
      <c r="F12" s="15"/>
      <c r="G12" s="16" t="s">
        <v>29</v>
      </c>
      <c r="H12" s="16"/>
      <c r="I12" s="17" t="s">
        <v>23</v>
      </c>
      <c r="J12" s="14" t="n">
        <v>2</v>
      </c>
      <c r="K12" s="21" t="n">
        <v>9.5</v>
      </c>
      <c r="L12" s="19" t="n">
        <f aca="false">K12*J12</f>
        <v>19</v>
      </c>
      <c r="M12" s="22" t="s">
        <v>30</v>
      </c>
      <c r="N12" s="22"/>
      <c r="O12" s="22"/>
      <c r="P12" s="22"/>
    </row>
    <row r="13" customFormat="false" ht="27.75" hidden="false" customHeight="true" outlineLevel="0" collapsed="false">
      <c r="A13" s="14" t="n">
        <v>4</v>
      </c>
      <c r="B13" s="15" t="s">
        <v>31</v>
      </c>
      <c r="C13" s="15"/>
      <c r="D13" s="15"/>
      <c r="E13" s="15"/>
      <c r="F13" s="15"/>
      <c r="G13" s="16" t="s">
        <v>32</v>
      </c>
      <c r="H13" s="16"/>
      <c r="I13" s="17" t="s">
        <v>23</v>
      </c>
      <c r="J13" s="14" t="n">
        <v>1</v>
      </c>
      <c r="K13" s="19" t="n">
        <v>5</v>
      </c>
      <c r="L13" s="19" t="n">
        <v>5</v>
      </c>
      <c r="M13" s="22" t="s">
        <v>33</v>
      </c>
      <c r="N13" s="22"/>
      <c r="O13" s="22"/>
      <c r="P13" s="22"/>
    </row>
    <row r="14" customFormat="false" ht="30" hidden="false" customHeight="true" outlineLevel="0" collapsed="false">
      <c r="A14" s="14" t="n">
        <v>5</v>
      </c>
      <c r="B14" s="15" t="s">
        <v>34</v>
      </c>
      <c r="C14" s="15"/>
      <c r="D14" s="15"/>
      <c r="E14" s="15"/>
      <c r="F14" s="15"/>
      <c r="G14" s="16" t="s">
        <v>35</v>
      </c>
      <c r="H14" s="16"/>
      <c r="I14" s="17" t="s">
        <v>23</v>
      </c>
      <c r="J14" s="14" t="n">
        <v>2</v>
      </c>
      <c r="K14" s="21" t="n">
        <v>7</v>
      </c>
      <c r="L14" s="21" t="n">
        <v>14</v>
      </c>
      <c r="M14" s="20" t="s">
        <v>36</v>
      </c>
      <c r="N14" s="20"/>
      <c r="O14" s="20"/>
      <c r="P14" s="20"/>
    </row>
    <row r="15" customFormat="false" ht="27" hidden="false" customHeight="true" outlineLevel="0" collapsed="false">
      <c r="A15" s="14" t="n">
        <v>6</v>
      </c>
      <c r="B15" s="15" t="s">
        <v>37</v>
      </c>
      <c r="C15" s="15"/>
      <c r="D15" s="15"/>
      <c r="E15" s="15"/>
      <c r="F15" s="15"/>
      <c r="G15" s="16" t="s">
        <v>38</v>
      </c>
      <c r="H15" s="16"/>
      <c r="I15" s="17" t="s">
        <v>23</v>
      </c>
      <c r="J15" s="14" t="n">
        <v>2</v>
      </c>
      <c r="K15" s="21" t="n">
        <v>9.5</v>
      </c>
      <c r="L15" s="21" t="n">
        <v>19</v>
      </c>
      <c r="M15" s="20" t="s">
        <v>39</v>
      </c>
      <c r="N15" s="20"/>
      <c r="O15" s="20"/>
      <c r="P15" s="20"/>
    </row>
    <row r="16" customFormat="false" ht="30" hidden="false" customHeight="true" outlineLevel="0" collapsed="false">
      <c r="A16" s="14" t="n">
        <v>7</v>
      </c>
      <c r="B16" s="15" t="s">
        <v>40</v>
      </c>
      <c r="C16" s="15"/>
      <c r="D16" s="15"/>
      <c r="E16" s="15"/>
      <c r="F16" s="15"/>
      <c r="G16" s="16" t="s">
        <v>41</v>
      </c>
      <c r="H16" s="16"/>
      <c r="I16" s="17" t="s">
        <v>23</v>
      </c>
      <c r="J16" s="14" t="n">
        <v>1</v>
      </c>
      <c r="K16" s="21" t="n">
        <v>32</v>
      </c>
      <c r="L16" s="21" t="n">
        <v>32</v>
      </c>
      <c r="M16" s="20" t="s">
        <v>42</v>
      </c>
      <c r="N16" s="20"/>
      <c r="O16" s="20"/>
      <c r="P16" s="20"/>
    </row>
    <row r="17" customFormat="false" ht="28.5" hidden="false" customHeight="true" outlineLevel="0" collapsed="false">
      <c r="A17" s="14" t="n">
        <v>8</v>
      </c>
      <c r="B17" s="15" t="s">
        <v>43</v>
      </c>
      <c r="C17" s="15"/>
      <c r="D17" s="15"/>
      <c r="E17" s="15"/>
      <c r="F17" s="15"/>
      <c r="G17" s="16" t="s">
        <v>44</v>
      </c>
      <c r="H17" s="16"/>
      <c r="I17" s="17" t="s">
        <v>23</v>
      </c>
      <c r="J17" s="14" t="n">
        <v>1</v>
      </c>
      <c r="K17" s="21" t="n">
        <v>2.5</v>
      </c>
      <c r="L17" s="19" t="n">
        <f aca="false">K17*J17</f>
        <v>2.5</v>
      </c>
      <c r="M17" s="20" t="s">
        <v>45</v>
      </c>
      <c r="N17" s="20"/>
      <c r="O17" s="20"/>
      <c r="P17" s="20"/>
    </row>
    <row r="18" customFormat="false" ht="31.5" hidden="false" customHeight="true" outlineLevel="0" collapsed="false">
      <c r="A18" s="14" t="n">
        <v>9</v>
      </c>
      <c r="B18" s="15" t="s">
        <v>46</v>
      </c>
      <c r="C18" s="15"/>
      <c r="D18" s="15"/>
      <c r="E18" s="15"/>
      <c r="F18" s="15"/>
      <c r="G18" s="16" t="s">
        <v>47</v>
      </c>
      <c r="H18" s="16"/>
      <c r="I18" s="17" t="s">
        <v>23</v>
      </c>
      <c r="J18" s="14" t="n">
        <v>1</v>
      </c>
      <c r="K18" s="19" t="n">
        <v>3.5</v>
      </c>
      <c r="L18" s="19" t="n">
        <f aca="false">K18*J18</f>
        <v>3.5</v>
      </c>
      <c r="M18" s="20" t="s">
        <v>48</v>
      </c>
      <c r="N18" s="20"/>
      <c r="O18" s="20"/>
      <c r="P18" s="20"/>
    </row>
    <row r="19" customFormat="false" ht="27" hidden="false" customHeight="true" outlineLevel="0" collapsed="false">
      <c r="A19" s="14" t="n">
        <v>10</v>
      </c>
      <c r="B19" s="15" t="s">
        <v>49</v>
      </c>
      <c r="C19" s="15"/>
      <c r="D19" s="15"/>
      <c r="E19" s="15"/>
      <c r="F19" s="15"/>
      <c r="G19" s="16" t="s">
        <v>50</v>
      </c>
      <c r="H19" s="16"/>
      <c r="I19" s="17" t="s">
        <v>51</v>
      </c>
      <c r="J19" s="14" t="n">
        <v>1</v>
      </c>
      <c r="K19" s="21" t="n">
        <v>12.53</v>
      </c>
      <c r="L19" s="23" t="n">
        <f aca="false">K19*J19</f>
        <v>12.53</v>
      </c>
      <c r="M19" s="20" t="s">
        <v>52</v>
      </c>
      <c r="N19" s="20"/>
      <c r="O19" s="20"/>
      <c r="P19" s="20"/>
    </row>
    <row r="20" customFormat="false" ht="27" hidden="false" customHeight="true" outlineLevel="0" collapsed="false">
      <c r="A20" s="14" t="n">
        <v>11</v>
      </c>
      <c r="B20" s="15" t="s">
        <v>53</v>
      </c>
      <c r="C20" s="15"/>
      <c r="D20" s="15"/>
      <c r="E20" s="15"/>
      <c r="F20" s="15"/>
      <c r="G20" s="16" t="s">
        <v>54</v>
      </c>
      <c r="H20" s="16"/>
      <c r="I20" s="17" t="s">
        <v>51</v>
      </c>
      <c r="J20" s="14" t="n">
        <v>1</v>
      </c>
      <c r="K20" s="24" t="n">
        <v>5.59</v>
      </c>
      <c r="L20" s="19" t="n">
        <f aca="false">K20*J20</f>
        <v>5.59</v>
      </c>
      <c r="M20" s="20" t="s">
        <v>55</v>
      </c>
      <c r="N20" s="20"/>
      <c r="O20" s="20"/>
      <c r="P20" s="20"/>
    </row>
    <row r="21" customFormat="false" ht="30" hidden="false" customHeight="true" outlineLevel="0" collapsed="false">
      <c r="A21" s="14" t="n">
        <v>12</v>
      </c>
      <c r="B21" s="25" t="s">
        <v>56</v>
      </c>
      <c r="C21" s="25"/>
      <c r="D21" s="25"/>
      <c r="E21" s="25"/>
      <c r="F21" s="25"/>
      <c r="G21" s="16" t="s">
        <v>57</v>
      </c>
      <c r="H21" s="16"/>
      <c r="I21" s="17" t="s">
        <v>23</v>
      </c>
      <c r="J21" s="14" t="n">
        <v>1</v>
      </c>
      <c r="K21" s="26" t="n">
        <v>12</v>
      </c>
      <c r="L21" s="26" t="n">
        <f aca="false">J21*K21</f>
        <v>12</v>
      </c>
      <c r="M21" s="27" t="s">
        <v>58</v>
      </c>
      <c r="N21" s="27"/>
      <c r="O21" s="27"/>
      <c r="P21" s="27"/>
    </row>
    <row r="22" customFormat="false" ht="15.75" hidden="false" customHeight="true" outlineLevel="0" collapsed="false">
      <c r="A22" s="28" t="n">
        <v>13</v>
      </c>
      <c r="B22" s="25" t="s">
        <v>59</v>
      </c>
      <c r="C22" s="25"/>
      <c r="D22" s="25"/>
      <c r="E22" s="25"/>
      <c r="F22" s="25"/>
      <c r="G22" s="16" t="s">
        <v>60</v>
      </c>
      <c r="H22" s="16"/>
      <c r="I22" s="17" t="s">
        <v>23</v>
      </c>
      <c r="J22" s="14" t="n">
        <v>2</v>
      </c>
      <c r="K22" s="26" t="n">
        <v>9</v>
      </c>
      <c r="L22" s="26" t="n">
        <f aca="false">J22*K22</f>
        <v>18</v>
      </c>
      <c r="M22" s="27" t="s">
        <v>58</v>
      </c>
      <c r="N22" s="27"/>
      <c r="O22" s="27"/>
      <c r="P22" s="27"/>
    </row>
    <row r="23" customFormat="false" ht="25.5" hidden="false" customHeight="true" outlineLevel="0" collapsed="false">
      <c r="A23" s="14" t="n">
        <v>14</v>
      </c>
      <c r="B23" s="25" t="s">
        <v>27</v>
      </c>
      <c r="C23" s="25"/>
      <c r="D23" s="25"/>
      <c r="E23" s="25"/>
      <c r="F23" s="25"/>
      <c r="G23" s="16" t="s">
        <v>61</v>
      </c>
      <c r="H23" s="16"/>
      <c r="I23" s="17" t="s">
        <v>23</v>
      </c>
      <c r="J23" s="14" t="n">
        <v>1</v>
      </c>
      <c r="K23" s="26" t="n">
        <v>24</v>
      </c>
      <c r="L23" s="26" t="n">
        <f aca="false">J23*K23</f>
        <v>24</v>
      </c>
      <c r="M23" s="27" t="s">
        <v>58</v>
      </c>
      <c r="N23" s="27"/>
      <c r="O23" s="27"/>
      <c r="P23" s="27"/>
    </row>
    <row r="24" customFormat="false" ht="27" hidden="false" customHeight="true" outlineLevel="0" collapsed="false">
      <c r="A24" s="14" t="n">
        <v>15</v>
      </c>
      <c r="B24" s="25" t="s">
        <v>62</v>
      </c>
      <c r="C24" s="25"/>
      <c r="D24" s="25"/>
      <c r="E24" s="25"/>
      <c r="F24" s="25"/>
      <c r="G24" s="16" t="s">
        <v>60</v>
      </c>
      <c r="H24" s="16"/>
      <c r="I24" s="17" t="s">
        <v>23</v>
      </c>
      <c r="J24" s="14" t="n">
        <v>1</v>
      </c>
      <c r="K24" s="26" t="n">
        <v>9</v>
      </c>
      <c r="L24" s="26" t="n">
        <f aca="false">J24*K24</f>
        <v>9</v>
      </c>
      <c r="M24" s="27" t="s">
        <v>58</v>
      </c>
      <c r="N24" s="27"/>
      <c r="O24" s="27"/>
      <c r="P24" s="27"/>
    </row>
    <row r="25" customFormat="false" ht="30" hidden="false" customHeight="true" outlineLevel="0" collapsed="false">
      <c r="A25" s="14" t="n">
        <v>16</v>
      </c>
      <c r="B25" s="15" t="s">
        <v>63</v>
      </c>
      <c r="C25" s="15"/>
      <c r="D25" s="15"/>
      <c r="E25" s="15"/>
      <c r="F25" s="15"/>
      <c r="G25" s="16" t="s">
        <v>64</v>
      </c>
      <c r="H25" s="16"/>
      <c r="I25" s="14" t="s">
        <v>65</v>
      </c>
      <c r="J25" s="14" t="n">
        <v>2</v>
      </c>
      <c r="K25" s="26" t="n">
        <v>34.3</v>
      </c>
      <c r="L25" s="26" t="n">
        <v>68.6</v>
      </c>
      <c r="M25" s="27" t="n">
        <f aca="false">41.85 *2</f>
        <v>83.7</v>
      </c>
      <c r="N25" s="27"/>
      <c r="O25" s="27"/>
      <c r="P25" s="27"/>
    </row>
    <row r="26" customFormat="false" ht="27.75" hidden="false" customHeight="true" outlineLevel="0" collapsed="false">
      <c r="A26" s="28" t="n">
        <v>17</v>
      </c>
      <c r="B26" s="15" t="s">
        <v>55</v>
      </c>
      <c r="C26" s="15"/>
      <c r="D26" s="15"/>
      <c r="E26" s="15"/>
      <c r="F26" s="15"/>
      <c r="G26" s="16" t="s">
        <v>66</v>
      </c>
      <c r="H26" s="16"/>
      <c r="I26" s="14" t="s">
        <v>65</v>
      </c>
      <c r="J26" s="14" t="n">
        <v>4</v>
      </c>
      <c r="K26" s="26" t="n">
        <v>6.33</v>
      </c>
      <c r="L26" s="26" t="n">
        <v>25.32</v>
      </c>
      <c r="M26" s="16"/>
      <c r="N26" s="16"/>
      <c r="O26" s="16"/>
      <c r="P26" s="16"/>
    </row>
    <row r="27" customFormat="false" ht="30" hidden="false" customHeight="true" outlineLevel="0" collapsed="false">
      <c r="A27" s="14" t="n">
        <v>18</v>
      </c>
      <c r="B27" s="15" t="s">
        <v>67</v>
      </c>
      <c r="C27" s="15"/>
      <c r="D27" s="15"/>
      <c r="E27" s="15"/>
      <c r="F27" s="15"/>
      <c r="G27" s="16" t="s">
        <v>68</v>
      </c>
      <c r="H27" s="16"/>
      <c r="I27" s="14" t="s">
        <v>65</v>
      </c>
      <c r="J27" s="14" t="n">
        <v>2</v>
      </c>
      <c r="K27" s="26" t="n">
        <v>56.49</v>
      </c>
      <c r="L27" s="26" t="n">
        <v>112.98</v>
      </c>
      <c r="M27" s="27" t="n">
        <f aca="false">68.92*2</f>
        <v>137.84</v>
      </c>
      <c r="N27" s="27"/>
      <c r="O27" s="27"/>
      <c r="P27" s="27"/>
    </row>
    <row r="28" customFormat="false" ht="24.75" hidden="false" customHeight="true" outlineLevel="0" collapsed="false">
      <c r="A28" s="14" t="n">
        <v>19</v>
      </c>
      <c r="B28" s="25" t="s">
        <v>69</v>
      </c>
      <c r="C28" s="25"/>
      <c r="D28" s="25"/>
      <c r="E28" s="25"/>
      <c r="F28" s="25"/>
      <c r="G28" s="29" t="s">
        <v>70</v>
      </c>
      <c r="H28" s="29"/>
      <c r="I28" s="14" t="s">
        <v>71</v>
      </c>
      <c r="J28" s="14" t="n">
        <v>3</v>
      </c>
      <c r="K28" s="26" t="n">
        <v>1.48</v>
      </c>
      <c r="L28" s="26" t="n">
        <v>4.44</v>
      </c>
      <c r="M28" s="16"/>
      <c r="N28" s="16"/>
      <c r="O28" s="16"/>
      <c r="P28" s="16"/>
    </row>
    <row r="29" customFormat="false" ht="30.75" hidden="false" customHeight="true" outlineLevel="0" collapsed="false">
      <c r="A29" s="14" t="n">
        <v>20</v>
      </c>
      <c r="B29" s="30" t="s">
        <v>72</v>
      </c>
      <c r="C29" s="30"/>
      <c r="D29" s="30"/>
      <c r="E29" s="30"/>
      <c r="F29" s="30"/>
      <c r="G29" s="29" t="s">
        <v>73</v>
      </c>
      <c r="H29" s="29"/>
      <c r="I29" s="14" t="s">
        <v>65</v>
      </c>
      <c r="J29" s="14" t="n">
        <v>1</v>
      </c>
      <c r="K29" s="26" t="n">
        <v>5.8</v>
      </c>
      <c r="L29" s="26" t="n">
        <v>5.8</v>
      </c>
      <c r="M29" s="27" t="s">
        <v>74</v>
      </c>
      <c r="N29" s="27"/>
      <c r="O29" s="27"/>
      <c r="P29" s="27"/>
    </row>
    <row r="30" customFormat="false" ht="30.75" hidden="false" customHeight="true" outlineLevel="0" collapsed="false">
      <c r="A30" s="28" t="n">
        <v>21</v>
      </c>
      <c r="B30" s="30" t="s">
        <v>75</v>
      </c>
      <c r="C30" s="30"/>
      <c r="D30" s="30"/>
      <c r="E30" s="30"/>
      <c r="F30" s="30"/>
      <c r="G30" s="29" t="s">
        <v>76</v>
      </c>
      <c r="H30" s="29"/>
      <c r="I30" s="14" t="s">
        <v>65</v>
      </c>
      <c r="J30" s="14" t="n">
        <v>2</v>
      </c>
      <c r="K30" s="26" t="n">
        <v>3.8</v>
      </c>
      <c r="L30" s="26" t="n">
        <v>7.6</v>
      </c>
      <c r="M30" s="27" t="n">
        <v>9.27</v>
      </c>
      <c r="N30" s="27"/>
      <c r="O30" s="27"/>
      <c r="P30" s="27"/>
    </row>
    <row r="31" customFormat="false" ht="28.5" hidden="false" customHeight="true" outlineLevel="0" collapsed="false">
      <c r="A31" s="14" t="n">
        <v>22</v>
      </c>
      <c r="B31" s="25" t="s">
        <v>77</v>
      </c>
      <c r="C31" s="25"/>
      <c r="D31" s="25"/>
      <c r="E31" s="25"/>
      <c r="F31" s="25"/>
      <c r="G31" s="29" t="s">
        <v>78</v>
      </c>
      <c r="H31" s="29"/>
      <c r="I31" s="14" t="s">
        <v>71</v>
      </c>
      <c r="J31" s="14" t="n">
        <v>1</v>
      </c>
      <c r="K31" s="26" t="n">
        <v>144.3</v>
      </c>
      <c r="L31" s="26" t="n">
        <v>144.3</v>
      </c>
      <c r="M31" s="16"/>
      <c r="N31" s="16"/>
      <c r="O31" s="16"/>
      <c r="P31" s="16"/>
    </row>
    <row r="32" customFormat="false" ht="27.75" hidden="false" customHeight="true" outlineLevel="0" collapsed="false">
      <c r="A32" s="14" t="n">
        <v>23</v>
      </c>
      <c r="B32" s="25" t="s">
        <v>79</v>
      </c>
      <c r="C32" s="25"/>
      <c r="D32" s="25"/>
      <c r="E32" s="25"/>
      <c r="F32" s="25"/>
      <c r="G32" s="29" t="s">
        <v>80</v>
      </c>
      <c r="H32" s="29"/>
      <c r="I32" s="14" t="s">
        <v>71</v>
      </c>
      <c r="J32" s="14" t="n">
        <v>1</v>
      </c>
      <c r="K32" s="26" t="n">
        <v>6.63</v>
      </c>
      <c r="L32" s="26" t="n">
        <v>6.63</v>
      </c>
      <c r="M32" s="16"/>
      <c r="N32" s="16"/>
      <c r="O32" s="16"/>
      <c r="P32" s="16"/>
    </row>
    <row r="33" customFormat="false" ht="27.75" hidden="false" customHeight="true" outlineLevel="0" collapsed="false">
      <c r="A33" s="14" t="n">
        <v>24</v>
      </c>
      <c r="B33" s="25" t="s">
        <v>81</v>
      </c>
      <c r="C33" s="25"/>
      <c r="D33" s="25"/>
      <c r="E33" s="25"/>
      <c r="F33" s="25"/>
      <c r="G33" s="29" t="n">
        <v>3413460</v>
      </c>
      <c r="H33" s="29"/>
      <c r="I33" s="14" t="s">
        <v>82</v>
      </c>
      <c r="J33" s="14" t="n">
        <v>1</v>
      </c>
      <c r="K33" s="26" t="n">
        <v>3.5</v>
      </c>
      <c r="L33" s="26" t="n">
        <v>3.5</v>
      </c>
      <c r="M33" s="16"/>
      <c r="N33" s="16"/>
      <c r="O33" s="16"/>
      <c r="P33" s="16"/>
    </row>
    <row r="34" customFormat="false" ht="30.75" hidden="false" customHeight="true" outlineLevel="0" collapsed="false">
      <c r="A34" s="28" t="n">
        <v>25</v>
      </c>
      <c r="B34" s="25" t="s">
        <v>83</v>
      </c>
      <c r="C34" s="25"/>
      <c r="D34" s="25"/>
      <c r="E34" s="25"/>
      <c r="F34" s="25"/>
      <c r="G34" s="29" t="s">
        <v>84</v>
      </c>
      <c r="H34" s="29"/>
      <c r="I34" s="14" t="s">
        <v>82</v>
      </c>
      <c r="J34" s="14" t="n">
        <v>1</v>
      </c>
      <c r="K34" s="26" t="n">
        <v>8.57</v>
      </c>
      <c r="L34" s="26" t="n">
        <v>8.57</v>
      </c>
      <c r="M34" s="16"/>
      <c r="N34" s="16"/>
      <c r="O34" s="16"/>
      <c r="P34" s="16"/>
    </row>
    <row r="35" customFormat="false" ht="43.5" hidden="false" customHeight="true" outlineLevel="0" collapsed="false">
      <c r="A35" s="14" t="n">
        <v>26</v>
      </c>
      <c r="B35" s="25" t="s">
        <v>85</v>
      </c>
      <c r="C35" s="25"/>
      <c r="D35" s="25"/>
      <c r="E35" s="25"/>
      <c r="F35" s="25"/>
      <c r="G35" s="29" t="s">
        <v>86</v>
      </c>
      <c r="H35" s="29"/>
      <c r="I35" s="14" t="s">
        <v>82</v>
      </c>
      <c r="J35" s="14" t="n">
        <v>1</v>
      </c>
      <c r="K35" s="26" t="n">
        <v>7.01</v>
      </c>
      <c r="L35" s="26" t="n">
        <v>7.01</v>
      </c>
      <c r="M35" s="16"/>
      <c r="N35" s="16"/>
      <c r="O35" s="16"/>
      <c r="P35" s="16"/>
    </row>
    <row r="36" customFormat="false" ht="28.5" hidden="false" customHeight="true" outlineLevel="0" collapsed="false">
      <c r="A36" s="14" t="n">
        <v>27</v>
      </c>
      <c r="B36" s="25" t="s">
        <v>87</v>
      </c>
      <c r="C36" s="25"/>
      <c r="D36" s="25"/>
      <c r="E36" s="25"/>
      <c r="F36" s="25"/>
      <c r="G36" s="29" t="s">
        <v>88</v>
      </c>
      <c r="H36" s="29"/>
      <c r="I36" s="14" t="s">
        <v>71</v>
      </c>
      <c r="J36" s="14" t="n">
        <v>30</v>
      </c>
      <c r="K36" s="26" t="n">
        <v>0.5</v>
      </c>
      <c r="L36" s="26" t="n">
        <v>15</v>
      </c>
      <c r="M36" s="16"/>
      <c r="N36" s="16"/>
      <c r="O36" s="16"/>
      <c r="P36" s="16"/>
    </row>
    <row r="37" customFormat="false" ht="30.75" hidden="false" customHeight="true" outlineLevel="0" collapsed="false">
      <c r="A37" s="14" t="n">
        <v>28</v>
      </c>
      <c r="B37" s="25" t="s">
        <v>89</v>
      </c>
      <c r="C37" s="25"/>
      <c r="D37" s="25"/>
      <c r="E37" s="25"/>
      <c r="F37" s="25"/>
      <c r="G37" s="29" t="s">
        <v>90</v>
      </c>
      <c r="H37" s="29"/>
      <c r="I37" s="14" t="s">
        <v>82</v>
      </c>
      <c r="J37" s="14" t="n">
        <v>1</v>
      </c>
      <c r="K37" s="26" t="n">
        <v>22.99</v>
      </c>
      <c r="L37" s="26" t="n">
        <v>22.99</v>
      </c>
      <c r="M37" s="16"/>
      <c r="N37" s="16"/>
      <c r="O37" s="16"/>
      <c r="P37" s="16"/>
    </row>
    <row r="38" customFormat="false" ht="30" hidden="false" customHeight="true" outlineLevel="0" collapsed="false">
      <c r="A38" s="28" t="n">
        <v>29</v>
      </c>
      <c r="B38" s="25" t="s">
        <v>91</v>
      </c>
      <c r="C38" s="25"/>
      <c r="D38" s="25"/>
      <c r="E38" s="25"/>
      <c r="F38" s="25"/>
      <c r="G38" s="29" t="s">
        <v>92</v>
      </c>
      <c r="H38" s="29"/>
      <c r="I38" s="14" t="s">
        <v>65</v>
      </c>
      <c r="J38" s="14" t="n">
        <v>2</v>
      </c>
      <c r="K38" s="26" t="n">
        <v>21.75</v>
      </c>
      <c r="L38" s="26" t="n">
        <v>43.5</v>
      </c>
      <c r="M38" s="27" t="n">
        <v>53.07</v>
      </c>
      <c r="N38" s="27"/>
      <c r="O38" s="27"/>
      <c r="P38" s="27"/>
    </row>
    <row r="39" customFormat="false" ht="30.75" hidden="false" customHeight="true" outlineLevel="0" collapsed="false">
      <c r="A39" s="14" t="n">
        <v>30</v>
      </c>
      <c r="B39" s="25" t="s">
        <v>93</v>
      </c>
      <c r="C39" s="25"/>
      <c r="D39" s="25"/>
      <c r="E39" s="25"/>
      <c r="F39" s="25"/>
      <c r="G39" s="29" t="s">
        <v>94</v>
      </c>
      <c r="H39" s="29"/>
      <c r="I39" s="14" t="s">
        <v>71</v>
      </c>
      <c r="J39" s="14" t="n">
        <v>2</v>
      </c>
      <c r="K39" s="26" t="n">
        <v>6</v>
      </c>
      <c r="L39" s="26" t="n">
        <v>12</v>
      </c>
      <c r="M39" s="16"/>
      <c r="N39" s="16"/>
      <c r="O39" s="16"/>
      <c r="P39" s="16"/>
    </row>
    <row r="40" customFormat="false" ht="30.75" hidden="false" customHeight="true" outlineLevel="0" collapsed="false">
      <c r="A40" s="14" t="n">
        <v>31</v>
      </c>
      <c r="B40" s="30" t="s">
        <v>95</v>
      </c>
      <c r="C40" s="30"/>
      <c r="D40" s="30"/>
      <c r="E40" s="30"/>
      <c r="F40" s="30"/>
      <c r="G40" s="29" t="s">
        <v>96</v>
      </c>
      <c r="H40" s="29"/>
      <c r="I40" s="14" t="s">
        <v>65</v>
      </c>
      <c r="J40" s="14" t="n">
        <v>1</v>
      </c>
      <c r="K40" s="26" t="n">
        <v>2.92</v>
      </c>
      <c r="L40" s="26" t="n">
        <f aca="false">J40*K40</f>
        <v>2.92</v>
      </c>
      <c r="M40" s="27" t="s">
        <v>97</v>
      </c>
      <c r="N40" s="27"/>
      <c r="O40" s="27"/>
      <c r="P40" s="27"/>
    </row>
    <row r="41" customFormat="false" ht="33.75" hidden="false" customHeight="true" outlineLevel="0" collapsed="false">
      <c r="A41" s="14" t="n">
        <v>32</v>
      </c>
      <c r="B41" s="25" t="s">
        <v>98</v>
      </c>
      <c r="C41" s="25"/>
      <c r="D41" s="25"/>
      <c r="E41" s="25"/>
      <c r="F41" s="25"/>
      <c r="G41" s="29" t="s">
        <v>99</v>
      </c>
      <c r="H41" s="29"/>
      <c r="I41" s="14" t="s">
        <v>82</v>
      </c>
      <c r="J41" s="14" t="n">
        <v>50</v>
      </c>
      <c r="K41" s="26" t="n">
        <v>0.0468</v>
      </c>
      <c r="L41" s="26" t="n">
        <f aca="false">J41*K41</f>
        <v>2.34</v>
      </c>
      <c r="M41" s="27" t="s">
        <v>100</v>
      </c>
      <c r="N41" s="27"/>
      <c r="O41" s="27"/>
      <c r="P41" s="27"/>
    </row>
    <row r="42" customFormat="false" ht="30" hidden="false" customHeight="true" outlineLevel="0" collapsed="false">
      <c r="A42" s="28" t="n">
        <v>33</v>
      </c>
      <c r="B42" s="25" t="s">
        <v>101</v>
      </c>
      <c r="C42" s="25"/>
      <c r="D42" s="25"/>
      <c r="E42" s="25"/>
      <c r="F42" s="25"/>
      <c r="G42" s="29" t="s">
        <v>102</v>
      </c>
      <c r="H42" s="29"/>
      <c r="I42" s="14" t="s">
        <v>82</v>
      </c>
      <c r="J42" s="14" t="n">
        <v>5</v>
      </c>
      <c r="K42" s="26" t="n">
        <v>1.006</v>
      </c>
      <c r="L42" s="26" t="n">
        <f aca="false">J42*K42</f>
        <v>5.03</v>
      </c>
      <c r="M42" s="27" t="s">
        <v>103</v>
      </c>
      <c r="N42" s="27"/>
      <c r="O42" s="27"/>
      <c r="P42" s="27"/>
    </row>
    <row r="43" customFormat="false" ht="30.75" hidden="false" customHeight="true" outlineLevel="0" collapsed="false">
      <c r="A43" s="14" t="n">
        <v>34</v>
      </c>
      <c r="B43" s="25" t="s">
        <v>104</v>
      </c>
      <c r="C43" s="25"/>
      <c r="D43" s="25"/>
      <c r="E43" s="25"/>
      <c r="F43" s="25"/>
      <c r="G43" s="29" t="s">
        <v>105</v>
      </c>
      <c r="H43" s="29"/>
      <c r="I43" s="14" t="s">
        <v>82</v>
      </c>
      <c r="J43" s="14" t="n">
        <v>7</v>
      </c>
      <c r="K43" s="26" t="n">
        <v>0.28</v>
      </c>
      <c r="L43" s="26" t="n">
        <f aca="false">J43*K43</f>
        <v>1.96</v>
      </c>
      <c r="M43" s="27" t="s">
        <v>106</v>
      </c>
      <c r="N43" s="27"/>
      <c r="O43" s="27"/>
      <c r="P43" s="27"/>
    </row>
    <row r="44" customFormat="false" ht="31.5" hidden="false" customHeight="true" outlineLevel="0" collapsed="false">
      <c r="A44" s="14" t="n">
        <v>35</v>
      </c>
      <c r="B44" s="25" t="s">
        <v>107</v>
      </c>
      <c r="C44" s="25"/>
      <c r="D44" s="25"/>
      <c r="E44" s="25"/>
      <c r="F44" s="25"/>
      <c r="G44" s="29" t="s">
        <v>108</v>
      </c>
      <c r="H44" s="29"/>
      <c r="I44" s="14" t="s">
        <v>82</v>
      </c>
      <c r="J44" s="14" t="n">
        <v>7</v>
      </c>
      <c r="K44" s="26" t="n">
        <v>0.4446</v>
      </c>
      <c r="L44" s="26" t="n">
        <f aca="false">J44*K44</f>
        <v>3.1122</v>
      </c>
      <c r="M44" s="27" t="s">
        <v>106</v>
      </c>
      <c r="N44" s="27"/>
      <c r="O44" s="27"/>
      <c r="P44" s="27"/>
    </row>
    <row r="45" customFormat="false" ht="30" hidden="false" customHeight="true" outlineLevel="0" collapsed="false">
      <c r="A45" s="14" t="n">
        <v>36</v>
      </c>
      <c r="B45" s="25" t="s">
        <v>109</v>
      </c>
      <c r="C45" s="25"/>
      <c r="D45" s="25"/>
      <c r="E45" s="25"/>
      <c r="F45" s="25"/>
      <c r="G45" s="29" t="s">
        <v>110</v>
      </c>
      <c r="H45" s="29"/>
      <c r="I45" s="14" t="s">
        <v>82</v>
      </c>
      <c r="J45" s="14" t="n">
        <v>10</v>
      </c>
      <c r="K45" s="26" t="n">
        <v>0.4</v>
      </c>
      <c r="L45" s="26" t="n">
        <f aca="false">J45*K45</f>
        <v>4</v>
      </c>
      <c r="M45" s="27" t="s">
        <v>97</v>
      </c>
      <c r="N45" s="27"/>
      <c r="O45" s="27"/>
      <c r="P45" s="27"/>
    </row>
    <row r="46" customFormat="false" ht="27.75" hidden="false" customHeight="true" outlineLevel="0" collapsed="false">
      <c r="A46" s="28" t="n">
        <v>37</v>
      </c>
      <c r="B46" s="25" t="s">
        <v>111</v>
      </c>
      <c r="C46" s="25"/>
      <c r="D46" s="25"/>
      <c r="E46" s="25"/>
      <c r="F46" s="25"/>
      <c r="G46" s="29" t="s">
        <v>112</v>
      </c>
      <c r="H46" s="29"/>
      <c r="I46" s="14" t="s">
        <v>82</v>
      </c>
      <c r="J46" s="14" t="n">
        <v>10</v>
      </c>
      <c r="K46" s="26" t="n">
        <v>0.632</v>
      </c>
      <c r="L46" s="26" t="n">
        <f aca="false">J46*K46</f>
        <v>6.32</v>
      </c>
      <c r="M46" s="16"/>
      <c r="N46" s="16"/>
      <c r="O46" s="16"/>
      <c r="P46" s="16"/>
    </row>
    <row r="47" customFormat="false" ht="25.5" hidden="false" customHeight="true" outlineLevel="0" collapsed="false">
      <c r="A47" s="14" t="n">
        <v>38</v>
      </c>
      <c r="B47" s="25" t="s">
        <v>113</v>
      </c>
      <c r="C47" s="25"/>
      <c r="D47" s="25"/>
      <c r="E47" s="25"/>
      <c r="F47" s="25"/>
      <c r="G47" s="29" t="s">
        <v>114</v>
      </c>
      <c r="H47" s="29"/>
      <c r="I47" s="14" t="s">
        <v>65</v>
      </c>
      <c r="J47" s="14" t="n">
        <v>1</v>
      </c>
      <c r="K47" s="26" t="n">
        <v>2.09</v>
      </c>
      <c r="L47" s="26" t="n">
        <f aca="false">J47*K47</f>
        <v>2.09</v>
      </c>
      <c r="M47" s="16"/>
      <c r="N47" s="16"/>
      <c r="O47" s="16"/>
      <c r="P47" s="16"/>
    </row>
    <row r="48" customFormat="false" ht="28.5" hidden="false" customHeight="true" outlineLevel="0" collapsed="false">
      <c r="A48" s="14" t="n">
        <v>39</v>
      </c>
      <c r="B48" s="25" t="s">
        <v>115</v>
      </c>
      <c r="C48" s="25"/>
      <c r="D48" s="25"/>
      <c r="E48" s="25"/>
      <c r="F48" s="25"/>
      <c r="G48" s="29" t="s">
        <v>116</v>
      </c>
      <c r="H48" s="29"/>
      <c r="I48" s="14" t="s">
        <v>65</v>
      </c>
      <c r="J48" s="14" t="n">
        <v>1</v>
      </c>
      <c r="K48" s="26" t="n">
        <v>12.21</v>
      </c>
      <c r="L48" s="26" t="n">
        <f aca="false">J48*K48</f>
        <v>12.21</v>
      </c>
      <c r="M48" s="16"/>
      <c r="N48" s="16"/>
      <c r="O48" s="16"/>
      <c r="P48" s="16"/>
    </row>
    <row r="49" customFormat="false" ht="30" hidden="false" customHeight="true" outlineLevel="0" collapsed="false">
      <c r="A49" s="14" t="n">
        <v>40</v>
      </c>
      <c r="B49" s="25" t="s">
        <v>117</v>
      </c>
      <c r="C49" s="25"/>
      <c r="D49" s="25"/>
      <c r="E49" s="25"/>
      <c r="F49" s="25"/>
      <c r="G49" s="29" t="s">
        <v>118</v>
      </c>
      <c r="H49" s="29"/>
      <c r="I49" s="14" t="s">
        <v>65</v>
      </c>
      <c r="J49" s="14" t="n">
        <v>2</v>
      </c>
      <c r="K49" s="26" t="n">
        <v>1.041</v>
      </c>
      <c r="L49" s="26" t="n">
        <f aca="false">J49*K49</f>
        <v>2.082</v>
      </c>
      <c r="M49" s="27" t="s">
        <v>119</v>
      </c>
      <c r="N49" s="27"/>
      <c r="O49" s="27"/>
      <c r="P49" s="27"/>
    </row>
    <row r="50" customFormat="false" ht="25.5" hidden="false" customHeight="true" outlineLevel="0" collapsed="false">
      <c r="A50" s="28" t="n">
        <v>41</v>
      </c>
      <c r="B50" s="25" t="s">
        <v>120</v>
      </c>
      <c r="C50" s="25"/>
      <c r="D50" s="25"/>
      <c r="E50" s="25"/>
      <c r="F50" s="25"/>
      <c r="G50" s="29" t="s">
        <v>121</v>
      </c>
      <c r="H50" s="29"/>
      <c r="I50" s="14" t="s">
        <v>65</v>
      </c>
      <c r="J50" s="14" t="n">
        <v>10</v>
      </c>
      <c r="K50" s="26" t="n">
        <v>0.417</v>
      </c>
      <c r="L50" s="26" t="n">
        <f aca="false">J50*K50</f>
        <v>4.17</v>
      </c>
      <c r="M50" s="27" t="s">
        <v>97</v>
      </c>
      <c r="N50" s="27"/>
      <c r="O50" s="27"/>
      <c r="P50" s="27"/>
    </row>
    <row r="51" customFormat="false" ht="25.5" hidden="false" customHeight="true" outlineLevel="0" collapsed="false">
      <c r="A51" s="14" t="n">
        <v>42</v>
      </c>
      <c r="B51" s="25" t="s">
        <v>122</v>
      </c>
      <c r="C51" s="25"/>
      <c r="D51" s="25"/>
      <c r="E51" s="25"/>
      <c r="F51" s="25"/>
      <c r="G51" s="29" t="s">
        <v>123</v>
      </c>
      <c r="H51" s="29"/>
      <c r="I51" s="14" t="s">
        <v>65</v>
      </c>
      <c r="J51" s="14" t="n">
        <v>4</v>
      </c>
      <c r="K51" s="26" t="n">
        <v>1.88</v>
      </c>
      <c r="L51" s="26" t="n">
        <f aca="false">J51*K51</f>
        <v>7.52</v>
      </c>
      <c r="M51" s="16"/>
      <c r="N51" s="16"/>
      <c r="O51" s="16"/>
      <c r="P51" s="16"/>
    </row>
    <row r="52" customFormat="false" ht="28.5" hidden="false" customHeight="true" outlineLevel="0" collapsed="false">
      <c r="A52" s="14" t="n">
        <v>43</v>
      </c>
      <c r="B52" s="25" t="s">
        <v>124</v>
      </c>
      <c r="C52" s="25"/>
      <c r="D52" s="25"/>
      <c r="E52" s="25"/>
      <c r="F52" s="25"/>
      <c r="G52" s="29" t="s">
        <v>125</v>
      </c>
      <c r="H52" s="29"/>
      <c r="I52" s="14" t="s">
        <v>65</v>
      </c>
      <c r="J52" s="14" t="n">
        <v>1</v>
      </c>
      <c r="K52" s="26" t="n">
        <v>30.37</v>
      </c>
      <c r="L52" s="26" t="n">
        <f aca="false">J52*K52</f>
        <v>30.37</v>
      </c>
      <c r="M52" s="16"/>
      <c r="N52" s="16"/>
      <c r="O52" s="16"/>
      <c r="P52" s="16"/>
    </row>
    <row r="53" customFormat="false" ht="28.5" hidden="false" customHeight="true" outlineLevel="0" collapsed="false">
      <c r="A53" s="14" t="n">
        <v>44</v>
      </c>
      <c r="B53" s="25" t="s">
        <v>126</v>
      </c>
      <c r="C53" s="25"/>
      <c r="D53" s="25"/>
      <c r="E53" s="25"/>
      <c r="F53" s="25"/>
      <c r="G53" s="29" t="s">
        <v>127</v>
      </c>
      <c r="H53" s="29"/>
      <c r="I53" s="14" t="s">
        <v>71</v>
      </c>
      <c r="J53" s="14" t="n">
        <v>4</v>
      </c>
      <c r="K53" s="26" t="n">
        <v>0.78</v>
      </c>
      <c r="L53" s="26" t="n">
        <f aca="false">J53*K53</f>
        <v>3.12</v>
      </c>
      <c r="M53" s="16"/>
      <c r="N53" s="16"/>
      <c r="O53" s="16"/>
      <c r="P53" s="16"/>
    </row>
    <row r="54" customFormat="false" ht="25.5" hidden="false" customHeight="true" outlineLevel="0" collapsed="false">
      <c r="A54" s="28" t="n">
        <v>45</v>
      </c>
      <c r="B54" s="25" t="s">
        <v>128</v>
      </c>
      <c r="C54" s="25"/>
      <c r="D54" s="25"/>
      <c r="E54" s="25"/>
      <c r="F54" s="25"/>
      <c r="G54" s="29" t="s">
        <v>129</v>
      </c>
      <c r="H54" s="29"/>
      <c r="I54" s="14" t="s">
        <v>65</v>
      </c>
      <c r="J54" s="14" t="n">
        <v>1</v>
      </c>
      <c r="K54" s="26" t="n">
        <v>9.34</v>
      </c>
      <c r="L54" s="26" t="n">
        <f aca="false">J54*K54</f>
        <v>9.34</v>
      </c>
      <c r="M54" s="16"/>
      <c r="N54" s="16"/>
      <c r="O54" s="16"/>
      <c r="P54" s="16"/>
    </row>
    <row r="55" customFormat="false" ht="27.75" hidden="false" customHeight="true" outlineLevel="0" collapsed="false">
      <c r="A55" s="14" t="n">
        <v>46</v>
      </c>
      <c r="B55" s="25" t="s">
        <v>130</v>
      </c>
      <c r="C55" s="25"/>
      <c r="D55" s="25"/>
      <c r="E55" s="25"/>
      <c r="F55" s="25"/>
      <c r="G55" s="29" t="s">
        <v>131</v>
      </c>
      <c r="H55" s="29"/>
      <c r="I55" s="14" t="s">
        <v>65</v>
      </c>
      <c r="J55" s="14" t="n">
        <v>1</v>
      </c>
      <c r="K55" s="26" t="n">
        <v>11.68</v>
      </c>
      <c r="L55" s="26" t="n">
        <f aca="false">J55*K55</f>
        <v>11.68</v>
      </c>
      <c r="M55" s="16"/>
      <c r="N55" s="16"/>
      <c r="O55" s="16"/>
      <c r="P55" s="16"/>
    </row>
    <row r="56" customFormat="false" ht="27" hidden="false" customHeight="true" outlineLevel="0" collapsed="false">
      <c r="A56" s="14" t="n">
        <v>47</v>
      </c>
      <c r="B56" s="15" t="s">
        <v>132</v>
      </c>
      <c r="C56" s="15"/>
      <c r="D56" s="15"/>
      <c r="E56" s="15"/>
      <c r="F56" s="15"/>
      <c r="G56" s="29" t="s">
        <v>133</v>
      </c>
      <c r="H56" s="29"/>
      <c r="I56" s="14" t="s">
        <v>82</v>
      </c>
      <c r="J56" s="14" t="n">
        <v>15</v>
      </c>
      <c r="K56" s="26" t="n">
        <v>0.1</v>
      </c>
      <c r="L56" s="26" t="n">
        <f aca="false">J56*K56</f>
        <v>1.5</v>
      </c>
      <c r="M56" s="27" t="s">
        <v>134</v>
      </c>
      <c r="N56" s="27"/>
      <c r="O56" s="27"/>
      <c r="P56" s="27"/>
    </row>
    <row r="57" customFormat="false" ht="30" hidden="false" customHeight="true" outlineLevel="0" collapsed="false">
      <c r="A57" s="14" t="n">
        <v>48</v>
      </c>
      <c r="B57" s="15" t="s">
        <v>135</v>
      </c>
      <c r="C57" s="15"/>
      <c r="D57" s="15"/>
      <c r="E57" s="15"/>
      <c r="F57" s="15"/>
      <c r="G57" s="29" t="s">
        <v>136</v>
      </c>
      <c r="H57" s="29"/>
      <c r="I57" s="14" t="s">
        <v>82</v>
      </c>
      <c r="J57" s="14" t="n">
        <v>30</v>
      </c>
      <c r="K57" s="26" t="n">
        <v>0.11</v>
      </c>
      <c r="L57" s="26" t="n">
        <f aca="false">J57*K57</f>
        <v>3.3</v>
      </c>
      <c r="M57" s="27" t="s">
        <v>137</v>
      </c>
      <c r="N57" s="27"/>
      <c r="O57" s="27"/>
      <c r="P57" s="27"/>
    </row>
    <row r="58" customFormat="false" ht="27" hidden="false" customHeight="true" outlineLevel="0" collapsed="false">
      <c r="A58" s="28" t="n">
        <v>49</v>
      </c>
      <c r="B58" s="15" t="s">
        <v>138</v>
      </c>
      <c r="C58" s="15"/>
      <c r="D58" s="15"/>
      <c r="E58" s="15"/>
      <c r="F58" s="15"/>
      <c r="G58" s="29" t="s">
        <v>139</v>
      </c>
      <c r="H58" s="29"/>
      <c r="I58" s="14" t="s">
        <v>82</v>
      </c>
      <c r="J58" s="14" t="n">
        <v>30</v>
      </c>
      <c r="K58" s="26" t="n">
        <v>0.09</v>
      </c>
      <c r="L58" s="26" t="n">
        <f aca="false">J58*K58</f>
        <v>2.7</v>
      </c>
      <c r="M58" s="27" t="s">
        <v>137</v>
      </c>
      <c r="N58" s="27"/>
      <c r="O58" s="27"/>
      <c r="P58" s="27"/>
    </row>
    <row r="59" customFormat="false" ht="27" hidden="false" customHeight="true" outlineLevel="0" collapsed="false">
      <c r="A59" s="14" t="n">
        <v>50</v>
      </c>
      <c r="B59" s="15" t="s">
        <v>140</v>
      </c>
      <c r="C59" s="15"/>
      <c r="D59" s="15"/>
      <c r="E59" s="15"/>
      <c r="F59" s="15"/>
      <c r="G59" s="29" t="s">
        <v>141</v>
      </c>
      <c r="H59" s="29"/>
      <c r="I59" s="14" t="s">
        <v>82</v>
      </c>
      <c r="J59" s="14" t="n">
        <v>30</v>
      </c>
      <c r="K59" s="26" t="n">
        <v>0.07</v>
      </c>
      <c r="L59" s="26" t="n">
        <f aca="false">J59*K59</f>
        <v>2.1</v>
      </c>
      <c r="M59" s="27" t="s">
        <v>137</v>
      </c>
      <c r="N59" s="27"/>
      <c r="O59" s="27"/>
      <c r="P59" s="27"/>
      <c r="R59" s="14" t="s">
        <v>142</v>
      </c>
    </row>
    <row r="60" customFormat="false" ht="27" hidden="false" customHeight="true" outlineLevel="0" collapsed="false">
      <c r="A60" s="14" t="n">
        <v>51</v>
      </c>
      <c r="B60" s="15" t="s">
        <v>143</v>
      </c>
      <c r="C60" s="15"/>
      <c r="D60" s="15"/>
      <c r="E60" s="15"/>
      <c r="F60" s="15"/>
      <c r="G60" s="29" t="s">
        <v>144</v>
      </c>
      <c r="H60" s="29"/>
      <c r="I60" s="14" t="s">
        <v>82</v>
      </c>
      <c r="J60" s="14" t="n">
        <v>1</v>
      </c>
      <c r="K60" s="26" t="n">
        <v>3.93</v>
      </c>
      <c r="L60" s="26" t="n">
        <f aca="false">J60*K60</f>
        <v>3.93</v>
      </c>
      <c r="M60" s="27" t="s">
        <v>145</v>
      </c>
      <c r="N60" s="27"/>
      <c r="O60" s="27"/>
      <c r="P60" s="27"/>
      <c r="R60" s="31" t="n">
        <f aca="false">SUM(L10:L60)</f>
        <v>847.6542</v>
      </c>
    </row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>
      <c r="E65" s="32" t="s">
        <v>146</v>
      </c>
    </row>
    <row r="66" customFormat="false" ht="15.75" hidden="false" customHeight="true" outlineLevel="0" collapsed="false">
      <c r="E66" s="33" t="n">
        <f aca="false">SUM(I67:I117)</f>
        <v>1086.736154</v>
      </c>
      <c r="O66" s="14"/>
    </row>
    <row r="67" customFormat="false" ht="15.75" hidden="false" customHeight="true" outlineLevel="0" collapsed="false">
      <c r="D67" s="32" t="n">
        <f aca="false">1200 - E66</f>
        <v>113.2638462</v>
      </c>
      <c r="I67" s="33" t="n">
        <f aca="false">1.282051282 * L10</f>
        <v>17.307692307</v>
      </c>
      <c r="O67" s="14"/>
    </row>
    <row r="68" customFormat="false" ht="15.75" hidden="false" customHeight="true" outlineLevel="0" collapsed="false">
      <c r="I68" s="33" t="n">
        <f aca="false">1.282051282 * L11</f>
        <v>61.538461536</v>
      </c>
    </row>
    <row r="69" customFormat="false" ht="15.75" hidden="false" customHeight="true" outlineLevel="0" collapsed="false">
      <c r="I69" s="33" t="n">
        <f aca="false">1.282051282 * L12</f>
        <v>24.358974358</v>
      </c>
    </row>
    <row r="70" customFormat="false" ht="15.75" hidden="false" customHeight="true" outlineLevel="0" collapsed="false">
      <c r="I70" s="33" t="n">
        <f aca="false">1.282051282 * L13</f>
        <v>6.41025641</v>
      </c>
    </row>
    <row r="71" customFormat="false" ht="15.75" hidden="false" customHeight="true" outlineLevel="0" collapsed="false">
      <c r="I71" s="33" t="n">
        <f aca="false">1.282051282 * L14</f>
        <v>17.948717948</v>
      </c>
    </row>
    <row r="72" customFormat="false" ht="15.75" hidden="false" customHeight="true" outlineLevel="0" collapsed="false">
      <c r="D72" s="34" t="n">
        <f aca="false">SUM(L10:L60)</f>
        <v>847.6542</v>
      </c>
      <c r="I72" s="33" t="n">
        <f aca="false">1.282051282 * L15</f>
        <v>24.358974358</v>
      </c>
    </row>
    <row r="73" customFormat="false" ht="15.75" hidden="false" customHeight="true" outlineLevel="0" collapsed="false">
      <c r="I73" s="33" t="n">
        <f aca="false">1.282051282 * L16</f>
        <v>41.025641024</v>
      </c>
    </row>
    <row r="74" customFormat="false" ht="15.75" hidden="false" customHeight="true" outlineLevel="0" collapsed="false">
      <c r="D74" s="32" t="s">
        <v>147</v>
      </c>
      <c r="I74" s="33" t="n">
        <f aca="false">1.282051282 * L17</f>
        <v>3.205128205</v>
      </c>
    </row>
    <row r="75" customFormat="false" ht="15.75" hidden="false" customHeight="true" outlineLevel="0" collapsed="false">
      <c r="I75" s="33" t="n">
        <f aca="false">1.282051282 * L18</f>
        <v>4.487179487</v>
      </c>
    </row>
    <row r="76" customFormat="false" ht="15.75" hidden="false" customHeight="true" outlineLevel="0" collapsed="false">
      <c r="I76" s="33" t="n">
        <f aca="false">1.282051282 * L19</f>
        <v>16.06410256346</v>
      </c>
    </row>
    <row r="77" customFormat="false" ht="15.75" hidden="false" customHeight="true" outlineLevel="0" collapsed="false">
      <c r="I77" s="33" t="n">
        <f aca="false">1.282051282 * L20</f>
        <v>7.16666666638</v>
      </c>
    </row>
    <row r="78" customFormat="false" ht="15.75" hidden="false" customHeight="true" outlineLevel="0" collapsed="false">
      <c r="I78" s="33" t="n">
        <f aca="false">1.282051282 * L21</f>
        <v>15.384615384</v>
      </c>
    </row>
    <row r="79" customFormat="false" ht="15.75" hidden="false" customHeight="true" outlineLevel="0" collapsed="false">
      <c r="I79" s="33" t="n">
        <f aca="false">1.282051282 * L22</f>
        <v>23.076923076</v>
      </c>
    </row>
    <row r="80" customFormat="false" ht="15.75" hidden="false" customHeight="true" outlineLevel="0" collapsed="false">
      <c r="I80" s="33" t="n">
        <f aca="false">1.282051282 * L23</f>
        <v>30.769230768</v>
      </c>
    </row>
    <row r="81" customFormat="false" ht="15.75" hidden="false" customHeight="true" outlineLevel="0" collapsed="false">
      <c r="I81" s="33" t="n">
        <f aca="false">1.282051282 * L24</f>
        <v>11.538461538</v>
      </c>
    </row>
    <row r="82" customFormat="false" ht="15.75" hidden="false" customHeight="true" outlineLevel="0" collapsed="false">
      <c r="I82" s="33" t="n">
        <f aca="false">1.282051282 * L25</f>
        <v>87.9487179452</v>
      </c>
    </row>
    <row r="83" customFormat="false" ht="15.75" hidden="false" customHeight="true" outlineLevel="0" collapsed="false">
      <c r="I83" s="33" t="n">
        <f aca="false">1.282051282 * L26</f>
        <v>32.46153846024</v>
      </c>
    </row>
    <row r="84" customFormat="false" ht="15.75" hidden="false" customHeight="true" outlineLevel="0" collapsed="false">
      <c r="I84" s="33" t="n">
        <f aca="false">1.282051282 * L27</f>
        <v>144.84615384036</v>
      </c>
    </row>
    <row r="85" customFormat="false" ht="15.75" hidden="false" customHeight="true" outlineLevel="0" collapsed="false">
      <c r="I85" s="33" t="n">
        <f aca="false">1.282051282 * L28</f>
        <v>5.69230769208</v>
      </c>
    </row>
    <row r="86" customFormat="false" ht="15.75" hidden="false" customHeight="true" outlineLevel="0" collapsed="false">
      <c r="I86" s="33" t="n">
        <f aca="false">1.282051282 * L29</f>
        <v>7.4358974356</v>
      </c>
    </row>
    <row r="87" customFormat="false" ht="15.75" hidden="false" customHeight="true" outlineLevel="0" collapsed="false">
      <c r="I87" s="33" t="n">
        <f aca="false">1.282051282 * L30</f>
        <v>9.7435897432</v>
      </c>
    </row>
    <row r="88" customFormat="false" ht="15.75" hidden="false" customHeight="true" outlineLevel="0" collapsed="false">
      <c r="I88" s="33" t="n">
        <f aca="false">1.282051282 * L31</f>
        <v>184.9999999926</v>
      </c>
    </row>
    <row r="89" customFormat="false" ht="15.75" hidden="false" customHeight="true" outlineLevel="0" collapsed="false">
      <c r="I89" s="33" t="n">
        <f aca="false">1.282051282 * L32</f>
        <v>8.49999999966</v>
      </c>
    </row>
    <row r="90" customFormat="false" ht="15.75" hidden="false" customHeight="true" outlineLevel="0" collapsed="false">
      <c r="I90" s="33" t="n">
        <f aca="false">1.282051282 * L33</f>
        <v>4.487179487</v>
      </c>
    </row>
    <row r="91" customFormat="false" ht="15.75" hidden="false" customHeight="true" outlineLevel="0" collapsed="false">
      <c r="I91" s="33" t="n">
        <f aca="false">1.282051282 * L34</f>
        <v>10.98717948674</v>
      </c>
    </row>
    <row r="92" customFormat="false" ht="15.75" hidden="false" customHeight="true" outlineLevel="0" collapsed="false">
      <c r="I92" s="33" t="n">
        <f aca="false">1.282051282 * L35</f>
        <v>8.98717948682</v>
      </c>
    </row>
    <row r="93" customFormat="false" ht="15.75" hidden="false" customHeight="true" outlineLevel="0" collapsed="false">
      <c r="I93" s="33" t="n">
        <f aca="false">1.282051282 * L36</f>
        <v>19.23076923</v>
      </c>
    </row>
    <row r="94" customFormat="false" ht="15.75" hidden="false" customHeight="true" outlineLevel="0" collapsed="false">
      <c r="I94" s="33" t="n">
        <f aca="false">1.282051282 * L37</f>
        <v>29.47435897318</v>
      </c>
    </row>
    <row r="95" customFormat="false" ht="15.75" hidden="false" customHeight="true" outlineLevel="0" collapsed="false">
      <c r="I95" s="33" t="n">
        <f aca="false">1.282051282 * L38</f>
        <v>55.769230767</v>
      </c>
    </row>
    <row r="96" customFormat="false" ht="15.75" hidden="false" customHeight="true" outlineLevel="0" collapsed="false">
      <c r="I96" s="33" t="n">
        <f aca="false">1.282051282 * L39</f>
        <v>15.384615384</v>
      </c>
    </row>
    <row r="97" customFormat="false" ht="15.75" hidden="false" customHeight="true" outlineLevel="0" collapsed="false">
      <c r="I97" s="33" t="n">
        <f aca="false">1.282051282 * L40</f>
        <v>3.74358974344</v>
      </c>
    </row>
    <row r="98" customFormat="false" ht="15.75" hidden="false" customHeight="true" outlineLevel="0" collapsed="false">
      <c r="I98" s="33" t="n">
        <f aca="false">1.282051282 * L41</f>
        <v>2.99999999988</v>
      </c>
    </row>
    <row r="99" customFormat="false" ht="15.75" hidden="false" customHeight="true" outlineLevel="0" collapsed="false">
      <c r="I99" s="33" t="n">
        <f aca="false">1.282051282 * L42</f>
        <v>6.44871794846</v>
      </c>
    </row>
    <row r="100" customFormat="false" ht="15.75" hidden="false" customHeight="true" outlineLevel="0" collapsed="false">
      <c r="I100" s="33" t="n">
        <f aca="false">1.282051282 * L43</f>
        <v>2.51282051272</v>
      </c>
    </row>
    <row r="101" customFormat="false" ht="15.75" hidden="false" customHeight="true" outlineLevel="0" collapsed="false">
      <c r="I101" s="33" t="n">
        <f aca="false">1.282051282 * L44</f>
        <v>3.9899999998404</v>
      </c>
    </row>
    <row r="102" customFormat="false" ht="15.75" hidden="false" customHeight="true" outlineLevel="0" collapsed="false">
      <c r="I102" s="33" t="n">
        <f aca="false">1.282051282 * L45</f>
        <v>5.128205128</v>
      </c>
    </row>
    <row r="103" customFormat="false" ht="15.75" hidden="false" customHeight="true" outlineLevel="0" collapsed="false">
      <c r="I103" s="33" t="n">
        <f aca="false">1.282051282 * L46</f>
        <v>8.10256410224</v>
      </c>
    </row>
    <row r="104" customFormat="false" ht="15.75" hidden="false" customHeight="true" outlineLevel="0" collapsed="false">
      <c r="I104" s="33" t="n">
        <f aca="false">1.282051282 * L47</f>
        <v>2.67948717938</v>
      </c>
    </row>
    <row r="105" customFormat="false" ht="15.75" hidden="false" customHeight="true" outlineLevel="0" collapsed="false">
      <c r="I105" s="33" t="n">
        <f aca="false">1.282051282 * L48</f>
        <v>15.65384615322</v>
      </c>
    </row>
    <row r="106" customFormat="false" ht="15.75" hidden="false" customHeight="true" outlineLevel="0" collapsed="false">
      <c r="I106" s="33" t="n">
        <f aca="false">1.282051282 * L49</f>
        <v>2.669230769124</v>
      </c>
    </row>
    <row r="107" customFormat="false" ht="15.75" hidden="false" customHeight="true" outlineLevel="0" collapsed="false">
      <c r="I107" s="33" t="n">
        <f aca="false">1.282051282 * L50</f>
        <v>5.34615384594</v>
      </c>
    </row>
    <row r="108" customFormat="false" ht="15.75" hidden="false" customHeight="true" outlineLevel="0" collapsed="false">
      <c r="I108" s="33" t="n">
        <f aca="false">1.282051282 * L51</f>
        <v>9.64102564064</v>
      </c>
    </row>
    <row r="109" customFormat="false" ht="15.75" hidden="false" customHeight="true" outlineLevel="0" collapsed="false">
      <c r="I109" s="33" t="n">
        <f aca="false">1.282051282 * L52</f>
        <v>38.93589743434</v>
      </c>
    </row>
    <row r="110" customFormat="false" ht="15.75" hidden="false" customHeight="true" outlineLevel="0" collapsed="false">
      <c r="I110" s="33" t="n">
        <f aca="false">1.282051282 * L53</f>
        <v>3.99999999984</v>
      </c>
    </row>
    <row r="111" customFormat="false" ht="15.75" hidden="false" customHeight="true" outlineLevel="0" collapsed="false">
      <c r="I111" s="33" t="n">
        <f aca="false">1.282051282 * L54</f>
        <v>11.97435897388</v>
      </c>
    </row>
    <row r="112" customFormat="false" ht="15.75" hidden="false" customHeight="true" outlineLevel="0" collapsed="false">
      <c r="I112" s="33" t="n">
        <f aca="false">1.282051282 * L55</f>
        <v>14.97435897376</v>
      </c>
    </row>
    <row r="113" customFormat="false" ht="15.75" hidden="false" customHeight="true" outlineLevel="0" collapsed="false">
      <c r="I113" s="33" t="n">
        <f aca="false">1.282051282 * L56</f>
        <v>1.923076923</v>
      </c>
    </row>
    <row r="114" customFormat="false" ht="15.75" hidden="false" customHeight="true" outlineLevel="0" collapsed="false">
      <c r="I114" s="33" t="n">
        <f aca="false">1.282051282 * L57</f>
        <v>4.2307692306</v>
      </c>
    </row>
    <row r="115" customFormat="false" ht="15.75" hidden="false" customHeight="true" outlineLevel="0" collapsed="false">
      <c r="I115" s="33" t="n">
        <f aca="false">1.282051282 * L58</f>
        <v>3.4615384614</v>
      </c>
    </row>
    <row r="116" customFormat="false" ht="15.75" hidden="false" customHeight="true" outlineLevel="0" collapsed="false">
      <c r="I116" s="33" t="n">
        <f aca="false">1.282051282 * L59</f>
        <v>2.6923076922</v>
      </c>
    </row>
    <row r="117" customFormat="false" ht="15.75" hidden="false" customHeight="true" outlineLevel="0" collapsed="false">
      <c r="I117" s="33" t="n">
        <f aca="false">1.282051282 * L60</f>
        <v>5.03846153826</v>
      </c>
    </row>
    <row r="118" customFormat="false" ht="15.75" hidden="false" customHeight="true" outlineLevel="0" collapsed="false">
      <c r="I118" s="33" t="n">
        <f aca="false">1.282051282 * L61</f>
        <v>0</v>
      </c>
    </row>
    <row r="119" customFormat="false" ht="15.75" hidden="false" customHeight="true" outlineLevel="0" collapsed="false">
      <c r="I119" s="33" t="n">
        <f aca="false">1.282051282 * L62</f>
        <v>0</v>
      </c>
    </row>
    <row r="120" customFormat="false" ht="15.75" hidden="false" customHeight="true" outlineLevel="0" collapsed="false">
      <c r="I120" s="33" t="n">
        <f aca="false">1.282051282 * L63</f>
        <v>0</v>
      </c>
    </row>
    <row r="121" customFormat="false" ht="15.75" hidden="false" customHeight="true" outlineLevel="0" collapsed="false">
      <c r="I121" s="33" t="n">
        <f aca="false">1.282051282 * L64</f>
        <v>0</v>
      </c>
    </row>
    <row r="122" customFormat="false" ht="15.75" hidden="false" customHeight="true" outlineLevel="0" collapsed="false">
      <c r="I122" s="33" t="n">
        <f aca="false">1.282051282 * L65</f>
        <v>0</v>
      </c>
    </row>
    <row r="123" customFormat="false" ht="15.75" hidden="false" customHeight="true" outlineLevel="0" collapsed="false">
      <c r="I123" s="33" t="n">
        <f aca="false">1.282051282 * L66</f>
        <v>0</v>
      </c>
    </row>
    <row r="124" customFormat="false" ht="15.75" hidden="false" customHeight="true" outlineLevel="0" collapsed="false">
      <c r="I124" s="33" t="n">
        <f aca="false">1.282051282 * L67</f>
        <v>0</v>
      </c>
    </row>
    <row r="125" customFormat="false" ht="15.75" hidden="false" customHeight="true" outlineLevel="0" collapsed="false">
      <c r="I125" s="33" t="n">
        <f aca="false">1.282051282 * L68</f>
        <v>0</v>
      </c>
    </row>
    <row r="126" customFormat="false" ht="15.75" hidden="false" customHeight="true" outlineLevel="0" collapsed="false">
      <c r="I126" s="33" t="n">
        <f aca="false">1.282051282 * L69</f>
        <v>0</v>
      </c>
    </row>
    <row r="127" customFormat="false" ht="15.75" hidden="false" customHeight="true" outlineLevel="0" collapsed="false">
      <c r="I127" s="33" t="n">
        <f aca="false">1.282051282 * L70</f>
        <v>0</v>
      </c>
    </row>
    <row r="128" customFormat="false" ht="15.75" hidden="false" customHeight="true" outlineLevel="0" collapsed="false">
      <c r="I128" s="33" t="n">
        <f aca="false">1.282051282 * L71</f>
        <v>0</v>
      </c>
    </row>
    <row r="129" customFormat="false" ht="15.75" hidden="false" customHeight="true" outlineLevel="0" collapsed="false">
      <c r="I129" s="33" t="n">
        <f aca="false">1.282051282 * L72</f>
        <v>0</v>
      </c>
    </row>
    <row r="130" customFormat="false" ht="15.75" hidden="false" customHeight="true" outlineLevel="0" collapsed="false">
      <c r="I130" s="33" t="n">
        <f aca="false">1.282051282 * L73</f>
        <v>0</v>
      </c>
    </row>
    <row r="131" customFormat="false" ht="15.75" hidden="false" customHeight="true" outlineLevel="0" collapsed="false">
      <c r="I131" s="33" t="n">
        <f aca="false">1.282051282 * L74</f>
        <v>0</v>
      </c>
    </row>
    <row r="132" customFormat="false" ht="15.75" hidden="false" customHeight="true" outlineLevel="0" collapsed="false">
      <c r="I132" s="33" t="n">
        <f aca="false">1.282051282 * L75</f>
        <v>0</v>
      </c>
    </row>
    <row r="133" customFormat="false" ht="15.75" hidden="false" customHeight="true" outlineLevel="0" collapsed="false">
      <c r="I133" s="33" t="n">
        <f aca="false">1.282051282 * L76</f>
        <v>0</v>
      </c>
    </row>
    <row r="134" customFormat="false" ht="15.75" hidden="false" customHeight="true" outlineLevel="0" collapsed="false">
      <c r="I134" s="33" t="n">
        <f aca="false">1.282051282 * L77</f>
        <v>0</v>
      </c>
    </row>
    <row r="135" customFormat="false" ht="15.75" hidden="false" customHeight="true" outlineLevel="0" collapsed="false">
      <c r="I135" s="33" t="n">
        <f aca="false">1.282051282 * L78</f>
        <v>0</v>
      </c>
    </row>
    <row r="136" customFormat="false" ht="15.75" hidden="false" customHeight="true" outlineLevel="0" collapsed="false">
      <c r="I136" s="33" t="n">
        <f aca="false">1.282051282 * L79</f>
        <v>0</v>
      </c>
    </row>
    <row r="137" customFormat="false" ht="15.75" hidden="false" customHeight="true" outlineLevel="0" collapsed="false">
      <c r="I137" s="33" t="n">
        <f aca="false">1.282051282 * L80</f>
        <v>0</v>
      </c>
    </row>
    <row r="138" customFormat="false" ht="15.75" hidden="false" customHeight="true" outlineLevel="0" collapsed="false">
      <c r="I138" s="33" t="n">
        <f aca="false">1.282051282 * L81</f>
        <v>0</v>
      </c>
    </row>
    <row r="139" customFormat="false" ht="15.75" hidden="false" customHeight="true" outlineLevel="0" collapsed="false">
      <c r="I139" s="33" t="n">
        <f aca="false">1.282051282 * L82</f>
        <v>0</v>
      </c>
    </row>
    <row r="140" customFormat="false" ht="15.75" hidden="false" customHeight="true" outlineLevel="0" collapsed="false">
      <c r="I140" s="33" t="n">
        <f aca="false">1.282051282 * L83</f>
        <v>0</v>
      </c>
    </row>
    <row r="141" customFormat="false" ht="15.75" hidden="false" customHeight="true" outlineLevel="0" collapsed="false">
      <c r="I141" s="33" t="n">
        <f aca="false">1.282051282 * L84</f>
        <v>0</v>
      </c>
    </row>
    <row r="142" customFormat="false" ht="15.75" hidden="false" customHeight="true" outlineLevel="0" collapsed="false">
      <c r="I142" s="33" t="n">
        <f aca="false">1.282051282 * L85</f>
        <v>0</v>
      </c>
    </row>
    <row r="143" customFormat="false" ht="15.75" hidden="false" customHeight="true" outlineLevel="0" collapsed="false">
      <c r="I143" s="33" t="n">
        <f aca="false">1.282051282 * L86</f>
        <v>0</v>
      </c>
    </row>
    <row r="144" customFormat="false" ht="15.75" hidden="false" customHeight="true" outlineLevel="0" collapsed="false">
      <c r="I144" s="33" t="n">
        <f aca="false">1.282051282 * L87</f>
        <v>0</v>
      </c>
    </row>
    <row r="145" customFormat="false" ht="15.75" hidden="false" customHeight="true" outlineLevel="0" collapsed="false">
      <c r="I145" s="33" t="n">
        <f aca="false">1.282051282 * L88</f>
        <v>0</v>
      </c>
    </row>
    <row r="146" customFormat="false" ht="15.75" hidden="false" customHeight="true" outlineLevel="0" collapsed="false">
      <c r="I146" s="33" t="n">
        <f aca="false">1.282051282 * L89</f>
        <v>0</v>
      </c>
    </row>
    <row r="147" customFormat="false" ht="15.75" hidden="false" customHeight="true" outlineLevel="0" collapsed="false">
      <c r="I147" s="33" t="n">
        <f aca="false">1.282051282 * L90</f>
        <v>0</v>
      </c>
    </row>
    <row r="148" customFormat="false" ht="15.75" hidden="false" customHeight="true" outlineLevel="0" collapsed="false">
      <c r="I148" s="33" t="n">
        <f aca="false">1.282051282 * L91</f>
        <v>0</v>
      </c>
    </row>
    <row r="149" customFormat="false" ht="15.75" hidden="false" customHeight="true" outlineLevel="0" collapsed="false">
      <c r="I149" s="33" t="n">
        <f aca="false">1.282051282 * L92</f>
        <v>0</v>
      </c>
    </row>
    <row r="150" customFormat="false" ht="15.75" hidden="false" customHeight="true" outlineLevel="0" collapsed="false">
      <c r="I150" s="33" t="n">
        <f aca="false">1.282051282 * L93</f>
        <v>0</v>
      </c>
    </row>
    <row r="151" customFormat="false" ht="15.75" hidden="false" customHeight="true" outlineLevel="0" collapsed="false">
      <c r="I151" s="33" t="n">
        <f aca="false">1.282051282 * L94</f>
        <v>0</v>
      </c>
    </row>
    <row r="152" customFormat="false" ht="15.75" hidden="false" customHeight="true" outlineLevel="0" collapsed="false">
      <c r="I152" s="33" t="n">
        <f aca="false">1.282051282 * L95</f>
        <v>0</v>
      </c>
    </row>
    <row r="153" customFormat="false" ht="15.75" hidden="false" customHeight="true" outlineLevel="0" collapsed="false">
      <c r="I153" s="33" t="n">
        <f aca="false">1.282051282 * L96</f>
        <v>0</v>
      </c>
    </row>
    <row r="154" customFormat="false" ht="15.75" hidden="false" customHeight="true" outlineLevel="0" collapsed="false">
      <c r="I154" s="33" t="n">
        <f aca="false">1.282051282 * L97</f>
        <v>0</v>
      </c>
    </row>
    <row r="155" customFormat="false" ht="15.75" hidden="false" customHeight="true" outlineLevel="0" collapsed="false">
      <c r="I155" s="33" t="n">
        <f aca="false">1.282051282 * L98</f>
        <v>0</v>
      </c>
    </row>
    <row r="156" customFormat="false" ht="15.75" hidden="false" customHeight="true" outlineLevel="0" collapsed="false">
      <c r="I156" s="33" t="n">
        <f aca="false">1.282051282 * L99</f>
        <v>0</v>
      </c>
    </row>
    <row r="157" customFormat="false" ht="15.75" hidden="false" customHeight="true" outlineLevel="0" collapsed="false">
      <c r="I157" s="33" t="n">
        <f aca="false">1.282051282 * L100</f>
        <v>0</v>
      </c>
    </row>
    <row r="158" customFormat="false" ht="15.75" hidden="false" customHeight="true" outlineLevel="0" collapsed="false">
      <c r="I158" s="33" t="n">
        <f aca="false">1.282051282 * L101</f>
        <v>0</v>
      </c>
    </row>
    <row r="159" customFormat="false" ht="15.75" hidden="false" customHeight="true" outlineLevel="0" collapsed="false">
      <c r="I159" s="33" t="n">
        <f aca="false">1.282051282 * L102</f>
        <v>0</v>
      </c>
    </row>
    <row r="160" customFormat="false" ht="15.75" hidden="false" customHeight="true" outlineLevel="0" collapsed="false">
      <c r="I160" s="33" t="n">
        <f aca="false">1.282051282 * L103</f>
        <v>0</v>
      </c>
    </row>
    <row r="161" customFormat="false" ht="15.75" hidden="false" customHeight="true" outlineLevel="0" collapsed="false">
      <c r="I161" s="33" t="n">
        <f aca="false">1.282051282 * L104</f>
        <v>0</v>
      </c>
    </row>
    <row r="162" customFormat="false" ht="15.75" hidden="false" customHeight="true" outlineLevel="0" collapsed="false">
      <c r="I162" s="33" t="n">
        <f aca="false">1.282051282 * L105</f>
        <v>0</v>
      </c>
    </row>
    <row r="163" customFormat="false" ht="15.75" hidden="false" customHeight="true" outlineLevel="0" collapsed="false">
      <c r="I163" s="33" t="n">
        <f aca="false">1.282051282 * L106</f>
        <v>0</v>
      </c>
    </row>
    <row r="164" customFormat="false" ht="15.75" hidden="false" customHeight="true" outlineLevel="0" collapsed="false">
      <c r="I164" s="33" t="n">
        <f aca="false">1.282051282 * L107</f>
        <v>0</v>
      </c>
    </row>
    <row r="165" customFormat="false" ht="15.75" hidden="false" customHeight="true" outlineLevel="0" collapsed="false">
      <c r="I165" s="33" t="n">
        <f aca="false">1.282051282 * L108</f>
        <v>0</v>
      </c>
    </row>
    <row r="166" customFormat="false" ht="15.75" hidden="false" customHeight="true" outlineLevel="0" collapsed="false">
      <c r="I166" s="33" t="n">
        <f aca="false">1.282051282 * L109</f>
        <v>0</v>
      </c>
    </row>
    <row r="167" customFormat="false" ht="15.75" hidden="false" customHeight="true" outlineLevel="0" collapsed="false">
      <c r="I167" s="33" t="n">
        <f aca="false">1.282051282 * L110</f>
        <v>0</v>
      </c>
    </row>
    <row r="168" customFormat="false" ht="15.75" hidden="false" customHeight="true" outlineLevel="0" collapsed="false">
      <c r="I168" s="33" t="n">
        <f aca="false">1.282051282 * L111</f>
        <v>0</v>
      </c>
    </row>
    <row r="169" customFormat="false" ht="15.75" hidden="false" customHeight="true" outlineLevel="0" collapsed="false">
      <c r="I169" s="33" t="n">
        <f aca="false">1.282051282 * L112</f>
        <v>0</v>
      </c>
    </row>
    <row r="170" customFormat="false" ht="15.75" hidden="false" customHeight="true" outlineLevel="0" collapsed="false">
      <c r="I170" s="33" t="n">
        <f aca="false">1.282051282 * L113</f>
        <v>0</v>
      </c>
    </row>
    <row r="171" customFormat="false" ht="15.75" hidden="false" customHeight="true" outlineLevel="0" collapsed="false">
      <c r="I171" s="33" t="n">
        <f aca="false">1.282051282 * L114</f>
        <v>0</v>
      </c>
    </row>
    <row r="172" customFormat="false" ht="15.75" hidden="false" customHeight="true" outlineLevel="0" collapsed="false">
      <c r="I172" s="33" t="n">
        <f aca="false">1.282051282 * L115</f>
        <v>0</v>
      </c>
    </row>
    <row r="173" customFormat="false" ht="15.75" hidden="false" customHeight="true" outlineLevel="0" collapsed="false">
      <c r="I173" s="33" t="n">
        <f aca="false">1.282051282 * L116</f>
        <v>0</v>
      </c>
    </row>
    <row r="174" customFormat="false" ht="15.75" hidden="false" customHeight="true" outlineLevel="0" collapsed="false">
      <c r="I174" s="33" t="n">
        <f aca="false">1.282051282 * L117</f>
        <v>0</v>
      </c>
    </row>
    <row r="175" customFormat="false" ht="15.75" hidden="false" customHeight="true" outlineLevel="0" collapsed="false">
      <c r="I175" s="33" t="n">
        <f aca="false">1.282051282 * L118</f>
        <v>0</v>
      </c>
    </row>
    <row r="176" customFormat="false" ht="15.75" hidden="false" customHeight="true" outlineLevel="0" collapsed="false">
      <c r="I176" s="33" t="n">
        <f aca="false">1.282051282 * L119</f>
        <v>0</v>
      </c>
    </row>
    <row r="177" customFormat="false" ht="15.75" hidden="false" customHeight="true" outlineLevel="0" collapsed="false">
      <c r="I177" s="33" t="n">
        <f aca="false">1.282051282 * L120</f>
        <v>0</v>
      </c>
    </row>
    <row r="178" customFormat="false" ht="15.75" hidden="false" customHeight="true" outlineLevel="0" collapsed="false">
      <c r="I178" s="33" t="n">
        <f aca="false">1.282051282 * L121</f>
        <v>0</v>
      </c>
    </row>
    <row r="179" customFormat="false" ht="15.75" hidden="false" customHeight="true" outlineLevel="0" collapsed="false">
      <c r="I179" s="33" t="n">
        <f aca="false">1.282051282 * L122</f>
        <v>0</v>
      </c>
    </row>
    <row r="180" customFormat="false" ht="15.75" hidden="false" customHeight="true" outlineLevel="0" collapsed="false">
      <c r="I180" s="33" t="n">
        <f aca="false">1.282051282 * L123</f>
        <v>0</v>
      </c>
    </row>
    <row r="181" customFormat="false" ht="15.75" hidden="false" customHeight="true" outlineLevel="0" collapsed="false">
      <c r="I181" s="33" t="n">
        <f aca="false">1.282051282 * L124</f>
        <v>0</v>
      </c>
    </row>
    <row r="182" customFormat="false" ht="15.75" hidden="false" customHeight="true" outlineLevel="0" collapsed="false">
      <c r="I182" s="33" t="n">
        <f aca="false">1.282051282 * L125</f>
        <v>0</v>
      </c>
    </row>
    <row r="183" customFormat="false" ht="15.75" hidden="false" customHeight="true" outlineLevel="0" collapsed="false">
      <c r="I183" s="33" t="n">
        <f aca="false">1.282051282 * L126</f>
        <v>0</v>
      </c>
    </row>
    <row r="184" customFormat="false" ht="15.75" hidden="false" customHeight="true" outlineLevel="0" collapsed="false">
      <c r="I184" s="33" t="n">
        <f aca="false">1.282051282 * L127</f>
        <v>0</v>
      </c>
    </row>
    <row r="185" customFormat="false" ht="15.75" hidden="false" customHeight="true" outlineLevel="0" collapsed="false">
      <c r="I185" s="33" t="n">
        <f aca="false">1.282051282 * L128</f>
        <v>0</v>
      </c>
    </row>
    <row r="186" customFormat="false" ht="15.75" hidden="false" customHeight="true" outlineLevel="0" collapsed="false">
      <c r="I186" s="33" t="n">
        <f aca="false">1.282051282 * L129</f>
        <v>0</v>
      </c>
    </row>
    <row r="187" customFormat="false" ht="15.75" hidden="false" customHeight="true" outlineLevel="0" collapsed="false">
      <c r="I187" s="33" t="n">
        <f aca="false">1.282051282 * L130</f>
        <v>0</v>
      </c>
    </row>
    <row r="188" customFormat="false" ht="15.75" hidden="false" customHeight="true" outlineLevel="0" collapsed="false">
      <c r="I188" s="33" t="n">
        <f aca="false">1.282051282 * L131</f>
        <v>0</v>
      </c>
    </row>
    <row r="189" customFormat="false" ht="15.75" hidden="false" customHeight="true" outlineLevel="0" collapsed="false">
      <c r="I189" s="33" t="n">
        <f aca="false">1.282051282 * L132</f>
        <v>0</v>
      </c>
    </row>
    <row r="190" customFormat="false" ht="15.75" hidden="false" customHeight="true" outlineLevel="0" collapsed="false">
      <c r="I190" s="33" t="n">
        <f aca="false">1.282051282 * L133</f>
        <v>0</v>
      </c>
    </row>
    <row r="191" customFormat="false" ht="15.75" hidden="false" customHeight="true" outlineLevel="0" collapsed="false">
      <c r="I191" s="33" t="n">
        <f aca="false">1.282051282 * L134</f>
        <v>0</v>
      </c>
    </row>
    <row r="192" customFormat="false" ht="15.75" hidden="false" customHeight="true" outlineLevel="0" collapsed="false">
      <c r="I192" s="33" t="n">
        <f aca="false">1.282051282 * L135</f>
        <v>0</v>
      </c>
    </row>
    <row r="193" customFormat="false" ht="15.75" hidden="false" customHeight="true" outlineLevel="0" collapsed="false">
      <c r="I193" s="33" t="n">
        <f aca="false">1.282051282 * L136</f>
        <v>0</v>
      </c>
    </row>
    <row r="194" customFormat="false" ht="15.75" hidden="false" customHeight="true" outlineLevel="0" collapsed="false">
      <c r="I194" s="33" t="n">
        <f aca="false">1.282051282 * L137</f>
        <v>0</v>
      </c>
    </row>
    <row r="195" customFormat="false" ht="15.75" hidden="false" customHeight="true" outlineLevel="0" collapsed="false">
      <c r="I195" s="33" t="n">
        <f aca="false">1.282051282 * L138</f>
        <v>0</v>
      </c>
    </row>
    <row r="196" customFormat="false" ht="15.75" hidden="false" customHeight="true" outlineLevel="0" collapsed="false">
      <c r="I196" s="33" t="n">
        <f aca="false">1.282051282 * L139</f>
        <v>0</v>
      </c>
    </row>
    <row r="197" customFormat="false" ht="15.75" hidden="false" customHeight="true" outlineLevel="0" collapsed="false">
      <c r="I197" s="33" t="n">
        <f aca="false">1.282051282 * L140</f>
        <v>0</v>
      </c>
    </row>
    <row r="198" customFormat="false" ht="15.75" hidden="false" customHeight="true" outlineLevel="0" collapsed="false">
      <c r="I198" s="33" t="n">
        <f aca="false">1.282051282 * L141</f>
        <v>0</v>
      </c>
    </row>
    <row r="199" customFormat="false" ht="15.75" hidden="false" customHeight="true" outlineLevel="0" collapsed="false">
      <c r="I199" s="33" t="n">
        <f aca="false">1.282051282 * L142</f>
        <v>0</v>
      </c>
    </row>
    <row r="200" customFormat="false" ht="15.75" hidden="false" customHeight="true" outlineLevel="0" collapsed="false">
      <c r="I200" s="33" t="n">
        <f aca="false">1.282051282 * L143</f>
        <v>0</v>
      </c>
    </row>
    <row r="201" customFormat="false" ht="15.75" hidden="false" customHeight="true" outlineLevel="0" collapsed="false">
      <c r="I201" s="33" t="n">
        <f aca="false">1.282051282 * L144</f>
        <v>0</v>
      </c>
    </row>
    <row r="202" customFormat="false" ht="15.75" hidden="false" customHeight="true" outlineLevel="0" collapsed="false">
      <c r="I202" s="33" t="n">
        <f aca="false">1.282051282 * L145</f>
        <v>0</v>
      </c>
    </row>
    <row r="203" customFormat="false" ht="15.75" hidden="false" customHeight="true" outlineLevel="0" collapsed="false">
      <c r="I203" s="33" t="n">
        <f aca="false">1.282051282 * L146</f>
        <v>0</v>
      </c>
    </row>
    <row r="204" customFormat="false" ht="15.75" hidden="false" customHeight="true" outlineLevel="0" collapsed="false">
      <c r="I204" s="33" t="n">
        <f aca="false">1.282051282 * L147</f>
        <v>0</v>
      </c>
    </row>
    <row r="205" customFormat="false" ht="15.75" hidden="false" customHeight="true" outlineLevel="0" collapsed="false">
      <c r="I205" s="33" t="n">
        <f aca="false">1.282051282 * L148</f>
        <v>0</v>
      </c>
    </row>
    <row r="206" customFormat="false" ht="15.75" hidden="false" customHeight="true" outlineLevel="0" collapsed="false">
      <c r="I206" s="33" t="n">
        <f aca="false">1.282051282 * L149</f>
        <v>0</v>
      </c>
    </row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66">
    <mergeCell ref="B1:D1"/>
    <mergeCell ref="F1:H1"/>
    <mergeCell ref="K1:L1"/>
    <mergeCell ref="M1:P7"/>
    <mergeCell ref="B3:D3"/>
    <mergeCell ref="F3:H3"/>
    <mergeCell ref="B5:D5"/>
    <mergeCell ref="E5:L5"/>
    <mergeCell ref="A7:L7"/>
    <mergeCell ref="B8:F8"/>
    <mergeCell ref="G8:H8"/>
    <mergeCell ref="M8:P8"/>
    <mergeCell ref="A9:P9"/>
    <mergeCell ref="B10:F10"/>
    <mergeCell ref="G10:H10"/>
    <mergeCell ref="M10:P10"/>
    <mergeCell ref="B11:F11"/>
    <mergeCell ref="G11:H11"/>
    <mergeCell ref="M11:P11"/>
    <mergeCell ref="B12:F12"/>
    <mergeCell ref="G12:H12"/>
    <mergeCell ref="M12:P12"/>
    <mergeCell ref="B13:F13"/>
    <mergeCell ref="G13:H13"/>
    <mergeCell ref="M13:P13"/>
    <mergeCell ref="B14:F14"/>
    <mergeCell ref="G14:H14"/>
    <mergeCell ref="M14:P14"/>
    <mergeCell ref="B15:F15"/>
    <mergeCell ref="G15:H15"/>
    <mergeCell ref="M15:P15"/>
    <mergeCell ref="B16:F16"/>
    <mergeCell ref="G16:H16"/>
    <mergeCell ref="M16:P16"/>
    <mergeCell ref="B17:F17"/>
    <mergeCell ref="G17:H17"/>
    <mergeCell ref="M17:P17"/>
    <mergeCell ref="B18:F18"/>
    <mergeCell ref="G18:H18"/>
    <mergeCell ref="M18:P18"/>
    <mergeCell ref="B19:F19"/>
    <mergeCell ref="G19:H19"/>
    <mergeCell ref="M19:P19"/>
    <mergeCell ref="B20:F20"/>
    <mergeCell ref="G20:H20"/>
    <mergeCell ref="M20:P20"/>
    <mergeCell ref="B21:F21"/>
    <mergeCell ref="G21:H21"/>
    <mergeCell ref="M21:P21"/>
    <mergeCell ref="B22:F22"/>
    <mergeCell ref="G22:H22"/>
    <mergeCell ref="M22:P22"/>
    <mergeCell ref="B23:F23"/>
    <mergeCell ref="G23:H23"/>
    <mergeCell ref="M23:P23"/>
    <mergeCell ref="B24:F24"/>
    <mergeCell ref="G24:H24"/>
    <mergeCell ref="M24:P24"/>
    <mergeCell ref="B25:F25"/>
    <mergeCell ref="G25:H25"/>
    <mergeCell ref="M25:P25"/>
    <mergeCell ref="B26:F26"/>
    <mergeCell ref="G26:H26"/>
    <mergeCell ref="M26:P26"/>
    <mergeCell ref="B27:F27"/>
    <mergeCell ref="G27:H27"/>
    <mergeCell ref="M27:P27"/>
    <mergeCell ref="B28:F28"/>
    <mergeCell ref="G28:H28"/>
    <mergeCell ref="M28:P28"/>
    <mergeCell ref="B29:F29"/>
    <mergeCell ref="G29:H29"/>
    <mergeCell ref="M29:P29"/>
    <mergeCell ref="B30:F30"/>
    <mergeCell ref="G30:H30"/>
    <mergeCell ref="M30:P30"/>
    <mergeCell ref="B31:F31"/>
    <mergeCell ref="G31:H31"/>
    <mergeCell ref="M31:P31"/>
    <mergeCell ref="B32:F32"/>
    <mergeCell ref="G32:H32"/>
    <mergeCell ref="M32:P32"/>
    <mergeCell ref="B33:F33"/>
    <mergeCell ref="G33:H33"/>
    <mergeCell ref="M33:P33"/>
    <mergeCell ref="B34:F34"/>
    <mergeCell ref="G34:H34"/>
    <mergeCell ref="M34:P34"/>
    <mergeCell ref="B35:F35"/>
    <mergeCell ref="G35:H35"/>
    <mergeCell ref="M35:P35"/>
    <mergeCell ref="B36:F36"/>
    <mergeCell ref="G36:H36"/>
    <mergeCell ref="M36:P36"/>
    <mergeCell ref="B37:F37"/>
    <mergeCell ref="G37:H37"/>
    <mergeCell ref="M37:P37"/>
    <mergeCell ref="B38:F38"/>
    <mergeCell ref="G38:H38"/>
    <mergeCell ref="M38:P38"/>
    <mergeCell ref="B39:F39"/>
    <mergeCell ref="G39:H39"/>
    <mergeCell ref="M39:P39"/>
    <mergeCell ref="B40:F40"/>
    <mergeCell ref="G40:H40"/>
    <mergeCell ref="M40:P40"/>
    <mergeCell ref="B41:F41"/>
    <mergeCell ref="G41:H41"/>
    <mergeCell ref="M41:P41"/>
    <mergeCell ref="B42:F42"/>
    <mergeCell ref="G42:H42"/>
    <mergeCell ref="M42:P42"/>
    <mergeCell ref="B43:F43"/>
    <mergeCell ref="G43:H43"/>
    <mergeCell ref="M43:P43"/>
    <mergeCell ref="B44:F44"/>
    <mergeCell ref="G44:H44"/>
    <mergeCell ref="M44:P44"/>
    <mergeCell ref="B45:F45"/>
    <mergeCell ref="G45:H45"/>
    <mergeCell ref="M45:P45"/>
    <mergeCell ref="B46:F46"/>
    <mergeCell ref="G46:H46"/>
    <mergeCell ref="M46:P46"/>
    <mergeCell ref="B47:F47"/>
    <mergeCell ref="G47:H47"/>
    <mergeCell ref="M47:P47"/>
    <mergeCell ref="B48:F48"/>
    <mergeCell ref="G48:H48"/>
    <mergeCell ref="M48:P48"/>
    <mergeCell ref="B49:F49"/>
    <mergeCell ref="G49:H49"/>
    <mergeCell ref="M49:P49"/>
    <mergeCell ref="B50:F50"/>
    <mergeCell ref="G50:H50"/>
    <mergeCell ref="M50:P50"/>
    <mergeCell ref="B51:F51"/>
    <mergeCell ref="G51:H51"/>
    <mergeCell ref="M51:P51"/>
    <mergeCell ref="B52:F52"/>
    <mergeCell ref="G52:H52"/>
    <mergeCell ref="M52:P52"/>
    <mergeCell ref="B53:F53"/>
    <mergeCell ref="G53:H53"/>
    <mergeCell ref="M53:P53"/>
    <mergeCell ref="B54:F54"/>
    <mergeCell ref="G54:H54"/>
    <mergeCell ref="M54:P54"/>
    <mergeCell ref="B55:F55"/>
    <mergeCell ref="G55:H55"/>
    <mergeCell ref="M55:P55"/>
    <mergeCell ref="B56:F56"/>
    <mergeCell ref="G56:H56"/>
    <mergeCell ref="M56:P56"/>
    <mergeCell ref="B57:F57"/>
    <mergeCell ref="G57:H57"/>
    <mergeCell ref="M57:P57"/>
    <mergeCell ref="B58:F58"/>
    <mergeCell ref="G58:H58"/>
    <mergeCell ref="M58:P58"/>
    <mergeCell ref="B59:F59"/>
    <mergeCell ref="G59:H59"/>
    <mergeCell ref="M59:P59"/>
    <mergeCell ref="B60:F60"/>
    <mergeCell ref="G60:H60"/>
    <mergeCell ref="M60:P6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2026-03-23T22:21:07Z</dcterms:modified>
  <cp:revision>1</cp:revision>
  <dc:subject/>
  <dc:title/>
</cp:coreProperties>
</file>