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0lGSfAI4uRlKbPpVv1b+9gMvty+NeSsgBeJSoOxIIlE="/>
    </ext>
  </extLst>
</workbook>
</file>

<file path=xl/sharedStrings.xml><?xml version="1.0" encoding="utf-8"?>
<sst xmlns="http://schemas.openxmlformats.org/spreadsheetml/2006/main" count="214" uniqueCount="151">
  <si>
    <t>GRUPPO TW</t>
  </si>
  <si>
    <t>REFERENTE ACQUISTI</t>
  </si>
  <si>
    <t>Dorigo Federico</t>
  </si>
  <si>
    <t>COORDINATORE</t>
  </si>
  <si>
    <t>Orsini Roberto</t>
  </si>
  <si>
    <t>SEDE</t>
  </si>
  <si>
    <t>MTB</t>
  </si>
  <si>
    <t>INDIRIZZO SEDE</t>
  </si>
  <si>
    <t>via J. Sansovino 6 Montebelluna (TV)</t>
  </si>
  <si>
    <t>CODICE PROGETTO</t>
  </si>
  <si>
    <t>6131 3 808 2024</t>
  </si>
  <si>
    <t>N° ORDINE</t>
  </si>
  <si>
    <t>-</t>
  </si>
  <si>
    <t>NUMERO ARTICOLO</t>
  </si>
  <si>
    <t>DESCRIZIONE</t>
  </si>
  <si>
    <t>CODICE ARTICOLO
 FORNITORE</t>
  </si>
  <si>
    <t>FORNITORE</t>
  </si>
  <si>
    <t>N° PEZZI</t>
  </si>
  <si>
    <t>PREZZO PER UNITA'
(IVA ESCLUSA)</t>
  </si>
  <si>
    <t>TOTALE
(IVA ESCLUSA)</t>
  </si>
  <si>
    <t>NOTE
( ES. MISURE - COLORE - TAGLIO )</t>
  </si>
  <si>
    <t>sensori effetto hall</t>
  </si>
  <si>
    <t>2850-HALLSENSOR</t>
  </si>
  <si>
    <t>futura elettronica</t>
  </si>
  <si>
    <t>Sensore effetto Hall per ralla e homing tramite uno spillo</t>
  </si>
  <si>
    <t>Motore passo-passo bipolare</t>
  </si>
  <si>
    <t>1606-23HS5628-8</t>
  </si>
  <si>
    <t xml:space="preserve">Motore passo-passo bipolare NEMA 17 – 2,5 A </t>
  </si>
  <si>
    <t>Driver per motore passo-passo</t>
  </si>
  <si>
    <t>8218-DRV8825</t>
  </si>
  <si>
    <t>Driver per motore passo-passo bipolare 2,2A per bobina, 45V max logica 3,3V-5,5V</t>
  </si>
  <si>
    <t>Scheda elettronica per Cella di carico - HX711</t>
  </si>
  <si>
    <t>3085-HX711BOARD</t>
  </si>
  <si>
    <t>Scheda elettronica basata sul chip HX711, un convertitore analogico-digitale a 24 bit, specifico per interfacciare la cella di carico, due celle collegabili (2 canali). Amplificatori di segnali individuali per singolo canale</t>
  </si>
  <si>
    <t>Cella di carico 1 kg</t>
  </si>
  <si>
    <t>1606-1KGLOADCELL</t>
  </si>
  <si>
    <t>Cella di carico per misurare la quantità di caffè e di capsule all'interno del macchianario</t>
  </si>
  <si>
    <t>Ventola 24 Vdc 80x80x25 mm</t>
  </si>
  <si>
    <t>6600-BSS24</t>
  </si>
  <si>
    <t>Ventola brushless d'ingresso e uscita per l'aria per il raffreddamento e il ricircolo del macchianario</t>
  </si>
  <si>
    <t>Arduino Shield TFT touch screen 3.5"</t>
  </si>
  <si>
    <t>2850-3.5INCHSHIELD</t>
  </si>
  <si>
    <t>Display touch per HMI modalità SPI max 40MHz</t>
  </si>
  <si>
    <t>Modulo DC-DC Step-Down regolabile 4,5-28 volt 3A</t>
  </si>
  <si>
    <t>3085-MP1584ADJ</t>
  </si>
  <si>
    <t>Step-down per microchip</t>
  </si>
  <si>
    <t>Staffa per motori passo-passo NEMA17</t>
  </si>
  <si>
    <t>2846-SMXNEMA17</t>
  </si>
  <si>
    <t>staffa per nema 17</t>
  </si>
  <si>
    <t>cuscinetto sferico</t>
  </si>
  <si>
    <t>750-8703</t>
  </si>
  <si>
    <t>RS Italia</t>
  </si>
  <si>
    <t>Cuscinetto sferico, RS PRO, Ø interno 20mm, Ø esterno 47mm, carico statico 630kgf, in Acciaio</t>
  </si>
  <si>
    <t>cuscinetto sferico radiale</t>
  </si>
  <si>
    <t>286-7849</t>
  </si>
  <si>
    <t>Cuscinetto a sfera Cuscinetti radiali a una corona di sfere SKF in Acciaio, Ø int. 6mm, Ø est. 19mm, Largh. guida 6mm</t>
  </si>
  <si>
    <t>Vite trapezoidale da 8mm p2mm 500mm con chiocciola</t>
  </si>
  <si>
    <t>26846-VITET8P2-500</t>
  </si>
  <si>
    <t>Arrivato</t>
  </si>
  <si>
    <t>Servo analogico con ingranaggi in metallo e completo di accessori. Alimentazione: da 4,8 VDC a 6 VDC, coppia di torsione: 9,4 kg•cm (4.8V) – 11 kg•cm (6V), angolo di rotazione: 360°, velocità a 4,8V: 0,19 secondi/60° senza carico, velocità a 6V: 0,15 secondi/60° senza carico. Dimensioni (mm): 42,7×40,9×20, peso: 55 grammi, temperatura di funzionamento: da 0°C a +60°C.</t>
  </si>
  <si>
    <t>1606-MG996R</t>
  </si>
  <si>
    <t>7300-STEPMOT3DRAG</t>
  </si>
  <si>
    <t>Servo motore 9.4kg/cm ingranaggi metallo 360°</t>
  </si>
  <si>
    <t>Profilo struttura RS PRO in Alluminio, Anodizzato, 30 x 30 mm x 2m</t>
  </si>
  <si>
    <t>264-7863</t>
  </si>
  <si>
    <t>RS COMPONENTS</t>
  </si>
  <si>
    <t>751-455</t>
  </si>
  <si>
    <t>Cuscinetto flangiato, Igus RJUM-06-12, Ø interno 12mm, carico dinamico 960N, statico 6720N, dimensioni 39 x 43 x 35mm</t>
  </si>
  <si>
    <t>617-4696</t>
  </si>
  <si>
    <t>Giunto in alluminio 5 mm – 8 mm</t>
  </si>
  <si>
    <t>8300-HUB5MM8</t>
  </si>
  <si>
    <t>FUTURA ELETTRONICA (FUTURA GROUP)</t>
  </si>
  <si>
    <t>Raspberry Pi 5 versione con 16 GB di memoria</t>
  </si>
  <si>
    <t>7310-RPI5-16GB</t>
  </si>
  <si>
    <t>Servo motore 10.5kg/cm ingranaggi metallo 180°</t>
  </si>
  <si>
    <t>8300-MG946R</t>
  </si>
  <si>
    <t>Intenso High Performance Scheda microSDHC 8 GB Class 10 incl. Adattatore S</t>
  </si>
  <si>
    <t>CONRAD</t>
  </si>
  <si>
    <t>Kingston Canvas Select Plus Scheda microSDXC 128 GB Class 10 UHS-I</t>
  </si>
  <si>
    <t>SDCS2/128GBSP</t>
  </si>
  <si>
    <t>SanDisk microSDXC Ultra 64GB (A1/UHS-I/Cl.10/140MB/s) + Adapter "Mobile" Scheda microSDXC 64 GB A1 Application Performan</t>
  </si>
  <si>
    <t>SDSQUAB-064G-GN6MA</t>
  </si>
  <si>
    <t>Angolare 90° in alluminio pressofuso</t>
  </si>
  <si>
    <t>7350-ANG90ALLU</t>
  </si>
  <si>
    <t>Cramolin GRAPHIT 1281411 Lacca 200 ml</t>
  </si>
  <si>
    <t>820571-62</t>
  </si>
  <si>
    <t>Filamento per stampante 3D NANOVIA, PET-G, Nero, diam. 1.75mm</t>
  </si>
  <si>
    <t>635-147</t>
  </si>
  <si>
    <t>10 dischi magnetici 8x3 mm</t>
  </si>
  <si>
    <t>8220-MAGNET5</t>
  </si>
  <si>
    <t>Contatto a crimpare JST PH Totale poli 1 BPH-002T-P0.5S 1 pz.</t>
  </si>
  <si>
    <t>BPH-002T-P0.5S</t>
  </si>
  <si>
    <t>l’ordine minimo è di 50, quindi è l’ordine minimo</t>
  </si>
  <si>
    <t>Connettore maschio da incasso (standard) JST PH Totale poli 8 Passo: 2 mm S8B-PH-SM4-TB (LF)(SN) 1 pz.</t>
  </si>
  <si>
    <t>S8B-PH-SM4-TB (LF)(SN)</t>
  </si>
  <si>
    <t>è una confezione da 5, quindi solo 1 confezione</t>
  </si>
  <si>
    <t>Connettore maschio da incasso (standard) JST PH Totale poli 4 Passo: 2 mm S4B-PH-SM4-TB (LF)(SN) 1 pz.</t>
  </si>
  <si>
    <t>S4B-PH-SM4-TB (LF)(SN)</t>
  </si>
  <si>
    <t>è una confezione da 7, quindi solo 1 confezione</t>
  </si>
  <si>
    <t>Connettore maschio da incasso (standard) JST PH Totale poli 3 Passo: 2 mm S3B-PH-SM4-TB (LF)(SN) 1 pz.</t>
  </si>
  <si>
    <t>S3B-PH-SM4-TB (LF)(SN)</t>
  </si>
  <si>
    <t>Connettore maschio da incasso (standard) JST PH Totale poli 2 Passo: 2 mm S2B-PH-SM4-TB (LF)(SN) 1 pz.</t>
  </si>
  <si>
    <t>S2B-PH-SM4-TB (LF)(SN)</t>
  </si>
  <si>
    <t>è una confezione da 10, quindi solo 1 confezione</t>
  </si>
  <si>
    <t>Fischer Elektronik Connettore maschio (standard) Numero di righe: 1 Poli per fila: 20 SL LP 5 SMD 051/ 20/S 1 pz.</t>
  </si>
  <si>
    <t>SL LP 5 SMD 051/ 20/S</t>
  </si>
  <si>
    <t>Portabatterie 9V PP3, montaggio PCB, contatti Montaggio su circuito stampato</t>
  </si>
  <si>
    <t>185-4728</t>
  </si>
  <si>
    <t>Batteria 9V RS PRO, 1.2Ah, Litio diossido di manganese</t>
  </si>
  <si>
    <t>784-5992</t>
  </si>
  <si>
    <t>Condensatore RS PRO, 4700μF, 35V cc, ±20%, 105°C, Radiale, Foro passante</t>
  </si>
  <si>
    <t>711-1374</t>
  </si>
  <si>
    <t>è una confezione da 2, quindi solo 1 confezione</t>
  </si>
  <si>
    <t>Condensatore RS PRO, 470μF, 35V cc, ±20%, 105°C, Radiale, Foro passante</t>
  </si>
  <si>
    <t>711-1299</t>
  </si>
  <si>
    <t>Potenziometro trimmer Bourns, 5kΩ, 12 giri, Regolazione dall'alto, Su foro</t>
  </si>
  <si>
    <t>769-2243</t>
  </si>
  <si>
    <t>Adattatore AC/DC RS PRO 24V cc, 3A, spina IEC 320 C14</t>
  </si>
  <si>
    <t>204-7566</t>
  </si>
  <si>
    <t>Presa DC da pannello 5,5 x 2,1 mm</t>
  </si>
  <si>
    <t>1606-DCPLUG</t>
  </si>
  <si>
    <t>Case per Raspberry Pi Raspberry Pi ABS serie Pi Case, per Raspberry Pi 5 Nero</t>
  </si>
  <si>
    <t>219-256</t>
  </si>
  <si>
    <t>Alimentatore per Raspberry Pi Raspberry Pi, presa USB di tipo C con Connettore maschio EU, cavo da 1.2m</t>
  </si>
  <si>
    <t>219-261</t>
  </si>
  <si>
    <t>Morsettiera per cavo JST PHR Totale poli 8 Passo: 2 mm PHR-8 1 pz.</t>
  </si>
  <si>
    <t>PHR-8</t>
  </si>
  <si>
    <t>15 è il numero minimo di pezzi ordinabile</t>
  </si>
  <si>
    <t>Morsettiera per cavo JST PHR Totale poli 4 Passo: 2 mm PHR-4 1 pz.</t>
  </si>
  <si>
    <t>PHR-4</t>
  </si>
  <si>
    <t>30 è il numero minimo di pezzi ordinabile</t>
  </si>
  <si>
    <t>Morsettiera per cavo JST PHR Totale poli 3 Passo: 2 mm PHR-3 1 pz.</t>
  </si>
  <si>
    <t>PHR-3</t>
  </si>
  <si>
    <t>Morsettiera per cavo JST PHR Totale poli 2 Passo: 2 mm PHR-2 1 pz.</t>
  </si>
  <si>
    <t>PHR-2</t>
  </si>
  <si>
    <t>3M 3302/20 100 SF Cavo piatto Passo: 1.27 mm 20 x 0.08 mm² Colorato Merce a metro</t>
  </si>
  <si>
    <t>3302/20 100 SF</t>
  </si>
  <si>
    <t>1 unità equivale a 1 metro</t>
  </si>
  <si>
    <t>Interruttore DIP NDS-03-V, SPST, 25 mA, 3 posizioni, attuatore a Rialzato, Foro passante</t>
  </si>
  <si>
    <t>NDS-03-V</t>
  </si>
  <si>
    <t>È 1 sacchetto da 5 componenti</t>
  </si>
  <si>
    <t>Copertura protettiva ebm-papst in Plastica, 80 x 80mm, ventola da 80mm</t>
  </si>
  <si>
    <t>92162-2-2929</t>
  </si>
  <si>
    <t>Diodo DiodesZetex, Foro passante, 10 A, 100 V, TO-220, Bassa dispersione, 3 Pin</t>
  </si>
  <si>
    <t>SDT10A100CT</t>
  </si>
  <si>
    <t>scheda con sensore Hall 49E  codice Produttore</t>
  </si>
  <si>
    <t>Dip Switch 3 posizioni</t>
  </si>
  <si>
    <t>4700-DIP/3</t>
  </si>
  <si>
    <t>TOTALE</t>
  </si>
  <si>
    <t>totale rimanente</t>
  </si>
  <si>
    <t>iva esclusa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</si>
</sst>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&quot; €&quot;"/>
    <numFmt numFmtId="165" formatCode="#,##0.00&quot;€&quot;"/>
    <numFmt numFmtId="166" formatCode="[$€-2]\ #,##0.00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2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3" fillId="0" fontId="2" numFmtId="0" xfId="0" applyAlignment="1" applyBorder="1" applyFont="1">
      <alignment vertical="bottom"/>
    </xf>
    <xf borderId="0" fillId="0" fontId="1" numFmtId="0" xfId="0" applyAlignment="1" applyFont="1">
      <alignment horizontal="center" readingOrder="0" vertical="bottom"/>
    </xf>
    <xf borderId="4" fillId="2" fontId="2" numFmtId="0" xfId="0" applyAlignment="1" applyBorder="1" applyFont="1">
      <alignment vertical="bottom"/>
    </xf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ill="1" applyFont="1">
      <alignment vertical="bottom"/>
    </xf>
    <xf borderId="8" fillId="0" fontId="3" numFmtId="0" xfId="0" applyBorder="1" applyFont="1"/>
    <xf borderId="1" fillId="4" fontId="1" numFmtId="0" xfId="0" applyAlignment="1" applyBorder="1" applyFill="1" applyFont="1">
      <alignment horizontal="center"/>
    </xf>
    <xf borderId="4" fillId="4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 shrinkToFit="0" wrapText="1"/>
    </xf>
    <xf borderId="7" fillId="5" fontId="2" numFmtId="0" xfId="0" applyAlignment="1" applyBorder="1" applyFill="1" applyFont="1">
      <alignment vertical="bottom"/>
    </xf>
    <xf borderId="0" fillId="0" fontId="2" numFmtId="0" xfId="0" applyAlignment="1" applyFont="1">
      <alignment horizontal="center"/>
    </xf>
    <xf borderId="0" fillId="6" fontId="2" numFmtId="0" xfId="0" applyAlignment="1" applyFill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vertical="bottom"/>
    </xf>
    <xf borderId="0" fillId="6" fontId="2" numFmtId="0" xfId="0" applyAlignment="1" applyFont="1">
      <alignment horizontal="center" shrinkToFit="0" vertical="bottom" wrapText="1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center"/>
    </xf>
    <xf borderId="0" fillId="6" fontId="2" numFmtId="0" xfId="0" applyAlignment="1" applyFont="1">
      <alignment horizontal="center" vertical="bottom"/>
    </xf>
    <xf borderId="0" fillId="7" fontId="2" numFmtId="0" xfId="0" applyAlignment="1" applyFill="1" applyFon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2.63"/>
    <col customWidth="1" min="3" max="3" width="22.38"/>
    <col customWidth="1" min="4" max="4" width="19.63"/>
    <col customWidth="1" min="5" max="5" width="25.75"/>
    <col customWidth="1" min="6" max="6" width="41.13"/>
    <col customWidth="1" min="9" max="9" width="45.25"/>
    <col customWidth="1" min="10" max="10" width="21.88"/>
    <col customWidth="1" min="11" max="11" width="20.25"/>
    <col customWidth="1" min="12" max="12" width="17.38"/>
    <col customWidth="1" min="16" max="16" width="54.13"/>
  </cols>
  <sheetData>
    <row r="1" ht="15.75" customHeight="1">
      <c r="A1" s="1" t="s">
        <v>0</v>
      </c>
      <c r="B1" s="2">
        <v>1.0</v>
      </c>
      <c r="E1" s="1" t="s">
        <v>1</v>
      </c>
      <c r="F1" s="3" t="s">
        <v>2</v>
      </c>
      <c r="I1" s="4"/>
      <c r="J1" s="1" t="s">
        <v>3</v>
      </c>
      <c r="K1" s="3" t="s">
        <v>4</v>
      </c>
      <c r="M1" s="5"/>
    </row>
    <row r="2" ht="15.75" customHeight="1">
      <c r="A2" s="5"/>
      <c r="B2" s="6"/>
      <c r="C2" s="6"/>
      <c r="D2" s="6"/>
      <c r="E2" s="5"/>
      <c r="F2" s="5"/>
      <c r="G2" s="5"/>
      <c r="H2" s="5"/>
      <c r="I2" s="5"/>
      <c r="J2" s="5"/>
      <c r="K2" s="5"/>
      <c r="L2" s="5"/>
    </row>
    <row r="3" ht="15.75" customHeight="1">
      <c r="A3" s="1" t="s">
        <v>5</v>
      </c>
      <c r="B3" s="2" t="s">
        <v>6</v>
      </c>
      <c r="E3" s="1" t="s">
        <v>7</v>
      </c>
      <c r="F3" s="3" t="s">
        <v>8</v>
      </c>
      <c r="I3" s="4"/>
      <c r="J3" s="1" t="s">
        <v>9</v>
      </c>
      <c r="K3" s="7"/>
      <c r="L3" s="5" t="s">
        <v>10</v>
      </c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15.75" customHeight="1">
      <c r="A5" s="1" t="s">
        <v>11</v>
      </c>
      <c r="B5" s="8" t="s">
        <v>12</v>
      </c>
      <c r="E5" s="9"/>
      <c r="F5" s="10"/>
      <c r="G5" s="10"/>
      <c r="H5" s="10"/>
      <c r="I5" s="10"/>
      <c r="J5" s="10"/>
      <c r="K5" s="10"/>
      <c r="L5" s="11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15.75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ht="15.75" customHeight="1">
      <c r="A8" s="14" t="s">
        <v>13</v>
      </c>
      <c r="B8" s="15" t="s">
        <v>14</v>
      </c>
      <c r="C8" s="10"/>
      <c r="D8" s="10"/>
      <c r="E8" s="10"/>
      <c r="F8" s="11"/>
      <c r="G8" s="16" t="s">
        <v>15</v>
      </c>
      <c r="H8" s="11"/>
      <c r="I8" s="14" t="s">
        <v>16</v>
      </c>
      <c r="J8" s="14" t="s">
        <v>17</v>
      </c>
      <c r="K8" s="14" t="s">
        <v>18</v>
      </c>
      <c r="L8" s="14" t="s">
        <v>19</v>
      </c>
      <c r="M8" s="15" t="s">
        <v>20</v>
      </c>
      <c r="N8" s="10"/>
      <c r="O8" s="10"/>
      <c r="P8" s="11"/>
    </row>
    <row r="9" ht="15.75" customHeight="1">
      <c r="A9" s="17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ht="25.5" customHeight="1">
      <c r="A10" s="18">
        <v>1.0</v>
      </c>
      <c r="B10" s="19" t="s">
        <v>21</v>
      </c>
      <c r="G10" s="18" t="s">
        <v>22</v>
      </c>
      <c r="I10" s="20" t="s">
        <v>23</v>
      </c>
      <c r="J10" s="21">
        <v>3.0</v>
      </c>
      <c r="K10" s="22">
        <v>4.5</v>
      </c>
      <c r="L10" s="22">
        <f>K10*J10</f>
        <v>13.5</v>
      </c>
      <c r="M10" s="6" t="s">
        <v>24</v>
      </c>
    </row>
    <row r="11" ht="27.75" customHeight="1">
      <c r="A11" s="18">
        <v>2.0</v>
      </c>
      <c r="B11" s="19" t="s">
        <v>25</v>
      </c>
      <c r="G11" s="18" t="s">
        <v>26</v>
      </c>
      <c r="I11" s="20" t="s">
        <v>23</v>
      </c>
      <c r="J11" s="18">
        <v>2.0</v>
      </c>
      <c r="K11" s="23">
        <v>29.0</v>
      </c>
      <c r="L11" s="24">
        <v>48.0</v>
      </c>
      <c r="M11" s="6" t="s">
        <v>27</v>
      </c>
    </row>
    <row r="12" ht="27.75" customHeight="1">
      <c r="A12" s="18">
        <v>3.0</v>
      </c>
      <c r="B12" s="19" t="s">
        <v>28</v>
      </c>
      <c r="G12" s="18" t="s">
        <v>29</v>
      </c>
      <c r="I12" s="20" t="s">
        <v>23</v>
      </c>
      <c r="J12" s="18">
        <v>2.0</v>
      </c>
      <c r="K12" s="24">
        <v>9.5</v>
      </c>
      <c r="L12" s="22">
        <f>K12*J12</f>
        <v>19</v>
      </c>
      <c r="M12" s="25" t="s">
        <v>30</v>
      </c>
    </row>
    <row r="13" ht="27.75" customHeight="1">
      <c r="A13" s="18">
        <v>4.0</v>
      </c>
      <c r="B13" s="19" t="s">
        <v>31</v>
      </c>
      <c r="G13" s="18" t="s">
        <v>32</v>
      </c>
      <c r="I13" s="20" t="s">
        <v>23</v>
      </c>
      <c r="J13" s="18">
        <v>1.0</v>
      </c>
      <c r="K13" s="22">
        <v>5.0</v>
      </c>
      <c r="L13" s="22">
        <v>5.0</v>
      </c>
      <c r="M13" s="25" t="s">
        <v>33</v>
      </c>
    </row>
    <row r="14" ht="30.0" customHeight="1">
      <c r="A14" s="18">
        <v>5.0</v>
      </c>
      <c r="B14" s="19" t="s">
        <v>34</v>
      </c>
      <c r="G14" s="18" t="s">
        <v>35</v>
      </c>
      <c r="I14" s="20" t="s">
        <v>23</v>
      </c>
      <c r="J14" s="18">
        <v>2.0</v>
      </c>
      <c r="K14" s="24">
        <v>7.0</v>
      </c>
      <c r="L14" s="24">
        <v>14.0</v>
      </c>
      <c r="M14" s="6" t="s">
        <v>36</v>
      </c>
    </row>
    <row r="15" ht="27.0" customHeight="1">
      <c r="A15" s="18">
        <v>6.0</v>
      </c>
      <c r="B15" s="19" t="s">
        <v>37</v>
      </c>
      <c r="G15" s="18" t="s">
        <v>38</v>
      </c>
      <c r="I15" s="20" t="s">
        <v>23</v>
      </c>
      <c r="J15" s="18">
        <v>2.0</v>
      </c>
      <c r="K15" s="24">
        <v>9.5</v>
      </c>
      <c r="L15" s="24">
        <v>19.0</v>
      </c>
      <c r="M15" s="6" t="s">
        <v>39</v>
      </c>
    </row>
    <row r="16" ht="30.0" customHeight="1">
      <c r="A16" s="18">
        <v>7.0</v>
      </c>
      <c r="B16" s="19" t="s">
        <v>40</v>
      </c>
      <c r="G16" s="18" t="s">
        <v>41</v>
      </c>
      <c r="I16" s="20" t="s">
        <v>23</v>
      </c>
      <c r="J16" s="18">
        <v>1.0</v>
      </c>
      <c r="K16" s="24">
        <v>32.0</v>
      </c>
      <c r="L16" s="24">
        <v>32.0</v>
      </c>
      <c r="M16" s="6" t="s">
        <v>42</v>
      </c>
    </row>
    <row r="17" ht="28.5" customHeight="1">
      <c r="A17" s="18">
        <v>8.0</v>
      </c>
      <c r="B17" s="19" t="s">
        <v>43</v>
      </c>
      <c r="G17" s="18" t="s">
        <v>44</v>
      </c>
      <c r="I17" s="20" t="s">
        <v>23</v>
      </c>
      <c r="J17" s="18">
        <v>1.0</v>
      </c>
      <c r="K17" s="24">
        <v>2.5</v>
      </c>
      <c r="L17" s="22">
        <f t="shared" ref="L17:L20" si="1">K17*J17</f>
        <v>2.5</v>
      </c>
      <c r="M17" s="6" t="s">
        <v>45</v>
      </c>
    </row>
    <row r="18" ht="31.5" customHeight="1">
      <c r="A18" s="18">
        <v>9.0</v>
      </c>
      <c r="B18" s="19" t="s">
        <v>46</v>
      </c>
      <c r="G18" s="18" t="s">
        <v>47</v>
      </c>
      <c r="I18" s="20" t="s">
        <v>23</v>
      </c>
      <c r="J18" s="18">
        <v>1.0</v>
      </c>
      <c r="K18" s="22">
        <v>3.5</v>
      </c>
      <c r="L18" s="22">
        <f t="shared" si="1"/>
        <v>3.5</v>
      </c>
      <c r="M18" s="6" t="s">
        <v>48</v>
      </c>
    </row>
    <row r="19" ht="27.0" customHeight="1">
      <c r="A19" s="18">
        <v>10.0</v>
      </c>
      <c r="B19" s="19" t="s">
        <v>49</v>
      </c>
      <c r="G19" s="18" t="s">
        <v>50</v>
      </c>
      <c r="I19" s="20" t="s">
        <v>51</v>
      </c>
      <c r="J19" s="18">
        <v>1.0</v>
      </c>
      <c r="K19" s="24">
        <v>12.53</v>
      </c>
      <c r="L19" s="26">
        <f t="shared" si="1"/>
        <v>12.53</v>
      </c>
      <c r="M19" s="6" t="s">
        <v>52</v>
      </c>
    </row>
    <row r="20" ht="27.0" customHeight="1">
      <c r="A20" s="18">
        <v>11.0</v>
      </c>
      <c r="B20" s="19" t="s">
        <v>53</v>
      </c>
      <c r="G20" s="18" t="s">
        <v>54</v>
      </c>
      <c r="I20" s="20" t="s">
        <v>51</v>
      </c>
      <c r="J20" s="18">
        <v>1.0</v>
      </c>
      <c r="K20" s="27">
        <v>5.59</v>
      </c>
      <c r="L20" s="22">
        <f t="shared" si="1"/>
        <v>5.59</v>
      </c>
      <c r="M20" s="6" t="s">
        <v>55</v>
      </c>
    </row>
    <row r="21" ht="30.0" customHeight="1">
      <c r="A21" s="28">
        <v>12.0</v>
      </c>
      <c r="B21" s="29" t="s">
        <v>56</v>
      </c>
      <c r="G21" s="28" t="s">
        <v>57</v>
      </c>
      <c r="I21" s="20" t="s">
        <v>23</v>
      </c>
      <c r="J21" s="28">
        <v>1.0</v>
      </c>
      <c r="K21" s="30">
        <v>12.0</v>
      </c>
      <c r="L21" s="30">
        <f t="shared" ref="L21:L24" si="2">J21*K21</f>
        <v>12</v>
      </c>
      <c r="M21" s="31" t="s">
        <v>58</v>
      </c>
    </row>
    <row r="22" ht="15.75" customHeight="1">
      <c r="A22" s="32">
        <v>13.0</v>
      </c>
      <c r="B22" s="29" t="s">
        <v>59</v>
      </c>
      <c r="G22" s="28" t="s">
        <v>60</v>
      </c>
      <c r="I22" s="20" t="s">
        <v>23</v>
      </c>
      <c r="J22" s="28">
        <v>2.0</v>
      </c>
      <c r="K22" s="30">
        <v>9.0</v>
      </c>
      <c r="L22" s="30">
        <f t="shared" si="2"/>
        <v>18</v>
      </c>
      <c r="M22" s="31" t="s">
        <v>58</v>
      </c>
    </row>
    <row r="23" ht="25.5" customHeight="1">
      <c r="A23" s="28">
        <v>14.0</v>
      </c>
      <c r="B23" s="29" t="s">
        <v>27</v>
      </c>
      <c r="G23" s="28" t="s">
        <v>61</v>
      </c>
      <c r="I23" s="20" t="s">
        <v>23</v>
      </c>
      <c r="J23" s="28">
        <v>1.0</v>
      </c>
      <c r="K23" s="30">
        <v>24.0</v>
      </c>
      <c r="L23" s="30">
        <f t="shared" si="2"/>
        <v>24</v>
      </c>
      <c r="M23" s="31" t="s">
        <v>58</v>
      </c>
    </row>
    <row r="24" ht="27.0" customHeight="1">
      <c r="A24" s="28">
        <v>15.0</v>
      </c>
      <c r="B24" s="29" t="s">
        <v>62</v>
      </c>
      <c r="G24" s="28" t="s">
        <v>60</v>
      </c>
      <c r="I24" s="20" t="s">
        <v>23</v>
      </c>
      <c r="J24" s="28">
        <v>1.0</v>
      </c>
      <c r="K24" s="30">
        <v>9.0</v>
      </c>
      <c r="L24" s="30">
        <f t="shared" si="2"/>
        <v>9</v>
      </c>
      <c r="M24" s="31" t="s">
        <v>58</v>
      </c>
    </row>
    <row r="25" ht="30.0" customHeight="1">
      <c r="A25" s="28">
        <v>16.0</v>
      </c>
      <c r="B25" s="33" t="s">
        <v>63</v>
      </c>
      <c r="G25" s="28" t="s">
        <v>64</v>
      </c>
      <c r="I25" s="28" t="s">
        <v>65</v>
      </c>
      <c r="J25" s="28">
        <v>2.0</v>
      </c>
      <c r="K25" s="30">
        <v>34.3</v>
      </c>
      <c r="L25" s="30">
        <v>68.6</v>
      </c>
      <c r="M25" s="31">
        <f> 41.85 *2</f>
        <v>83.7</v>
      </c>
    </row>
    <row r="26" ht="27.75" customHeight="1">
      <c r="A26" s="32">
        <v>17.0</v>
      </c>
      <c r="B26" s="33" t="s">
        <v>55</v>
      </c>
      <c r="G26" s="28" t="s">
        <v>66</v>
      </c>
      <c r="I26" s="28" t="s">
        <v>65</v>
      </c>
      <c r="J26" s="28">
        <v>4.0</v>
      </c>
      <c r="K26" s="30">
        <v>6.33</v>
      </c>
      <c r="L26" s="30">
        <v>25.32</v>
      </c>
      <c r="M26" s="28"/>
    </row>
    <row r="27" ht="30.0" customHeight="1">
      <c r="A27" s="28">
        <v>18.0</v>
      </c>
      <c r="B27" s="33" t="s">
        <v>67</v>
      </c>
      <c r="G27" s="28" t="s">
        <v>68</v>
      </c>
      <c r="I27" s="28" t="s">
        <v>65</v>
      </c>
      <c r="J27" s="28">
        <v>2.0</v>
      </c>
      <c r="K27" s="30">
        <v>56.49</v>
      </c>
      <c r="L27" s="30">
        <v>112.98</v>
      </c>
      <c r="M27" s="31">
        <f>68.92*2</f>
        <v>137.84</v>
      </c>
    </row>
    <row r="28" ht="24.75" customHeight="1">
      <c r="A28" s="28">
        <v>19.0</v>
      </c>
      <c r="B28" s="29" t="s">
        <v>69</v>
      </c>
      <c r="G28" s="34" t="s">
        <v>70</v>
      </c>
      <c r="I28" s="28" t="s">
        <v>71</v>
      </c>
      <c r="J28" s="28">
        <v>3.0</v>
      </c>
      <c r="K28" s="30">
        <v>1.48</v>
      </c>
      <c r="L28" s="30">
        <v>4.44</v>
      </c>
      <c r="M28" s="28"/>
    </row>
    <row r="29" ht="28.5" customHeight="1">
      <c r="A29" s="28">
        <v>22.0</v>
      </c>
      <c r="B29" s="29" t="s">
        <v>72</v>
      </c>
      <c r="G29" s="34" t="s">
        <v>73</v>
      </c>
      <c r="I29" s="28" t="s">
        <v>71</v>
      </c>
      <c r="J29" s="28">
        <v>1.0</v>
      </c>
      <c r="K29" s="30">
        <v>144.3</v>
      </c>
      <c r="L29" s="30">
        <v>144.3</v>
      </c>
      <c r="M29" s="28"/>
    </row>
    <row r="30" ht="27.75" customHeight="1">
      <c r="A30" s="28">
        <v>23.0</v>
      </c>
      <c r="B30" s="29" t="s">
        <v>74</v>
      </c>
      <c r="G30" s="34" t="s">
        <v>75</v>
      </c>
      <c r="I30" s="28" t="s">
        <v>71</v>
      </c>
      <c r="J30" s="28">
        <v>1.0</v>
      </c>
      <c r="K30" s="30">
        <v>6.63</v>
      </c>
      <c r="L30" s="30">
        <v>6.63</v>
      </c>
      <c r="M30" s="28"/>
    </row>
    <row r="31" ht="27.75" customHeight="1">
      <c r="A31" s="28">
        <v>24.0</v>
      </c>
      <c r="B31" s="29" t="s">
        <v>76</v>
      </c>
      <c r="G31" s="34">
        <v>3413460.0</v>
      </c>
      <c r="I31" s="28" t="s">
        <v>77</v>
      </c>
      <c r="J31" s="28">
        <v>1.0</v>
      </c>
      <c r="K31" s="30">
        <v>3.5</v>
      </c>
      <c r="L31" s="30">
        <v>3.5</v>
      </c>
      <c r="M31" s="28"/>
    </row>
    <row r="32" ht="30.75" customHeight="1">
      <c r="A32" s="32">
        <v>25.0</v>
      </c>
      <c r="B32" s="29" t="s">
        <v>78</v>
      </c>
      <c r="G32" s="34" t="s">
        <v>79</v>
      </c>
      <c r="I32" s="28" t="s">
        <v>77</v>
      </c>
      <c r="J32" s="28">
        <v>1.0</v>
      </c>
      <c r="K32" s="30">
        <v>8.57</v>
      </c>
      <c r="L32" s="30">
        <v>8.57</v>
      </c>
      <c r="M32" s="28"/>
    </row>
    <row r="33" ht="43.5" customHeight="1">
      <c r="A33" s="28">
        <v>26.0</v>
      </c>
      <c r="B33" s="29" t="s">
        <v>80</v>
      </c>
      <c r="G33" s="34" t="s">
        <v>81</v>
      </c>
      <c r="I33" s="28" t="s">
        <v>77</v>
      </c>
      <c r="J33" s="28">
        <v>1.0</v>
      </c>
      <c r="K33" s="30">
        <v>7.01</v>
      </c>
      <c r="L33" s="30">
        <v>7.01</v>
      </c>
      <c r="M33" s="28"/>
    </row>
    <row r="34" ht="28.5" customHeight="1">
      <c r="A34" s="28">
        <v>27.0</v>
      </c>
      <c r="B34" s="29" t="s">
        <v>82</v>
      </c>
      <c r="G34" s="34" t="s">
        <v>83</v>
      </c>
      <c r="I34" s="28" t="s">
        <v>71</v>
      </c>
      <c r="J34" s="28">
        <v>30.0</v>
      </c>
      <c r="K34" s="30">
        <v>0.5</v>
      </c>
      <c r="L34" s="30">
        <v>15.0</v>
      </c>
      <c r="M34" s="28"/>
    </row>
    <row r="35" ht="30.75" customHeight="1">
      <c r="A35" s="28">
        <v>28.0</v>
      </c>
      <c r="B35" s="29" t="s">
        <v>84</v>
      </c>
      <c r="G35" s="34" t="s">
        <v>85</v>
      </c>
      <c r="I35" s="28" t="s">
        <v>77</v>
      </c>
      <c r="J35" s="28">
        <v>1.0</v>
      </c>
      <c r="K35" s="30">
        <v>22.99</v>
      </c>
      <c r="L35" s="30">
        <v>22.99</v>
      </c>
      <c r="M35" s="28"/>
    </row>
    <row r="36" ht="30.0" customHeight="1">
      <c r="A36" s="32">
        <v>29.0</v>
      </c>
      <c r="B36" s="29" t="s">
        <v>86</v>
      </c>
      <c r="G36" s="34" t="s">
        <v>87</v>
      </c>
      <c r="I36" s="28" t="s">
        <v>65</v>
      </c>
      <c r="J36" s="28">
        <v>2.0</v>
      </c>
      <c r="K36" s="30">
        <v>21.75</v>
      </c>
      <c r="L36" s="30">
        <v>43.5</v>
      </c>
      <c r="M36" s="31">
        <v>53.07</v>
      </c>
    </row>
    <row r="37" ht="30.75" customHeight="1">
      <c r="A37" s="28">
        <v>30.0</v>
      </c>
      <c r="B37" s="29" t="s">
        <v>88</v>
      </c>
      <c r="G37" s="34" t="s">
        <v>89</v>
      </c>
      <c r="I37" s="28" t="s">
        <v>71</v>
      </c>
      <c r="J37" s="28">
        <v>2.0</v>
      </c>
      <c r="K37" s="30">
        <v>6.0</v>
      </c>
      <c r="L37" s="30">
        <v>12.0</v>
      </c>
      <c r="M37" s="28"/>
    </row>
    <row r="38" ht="33.75" customHeight="1">
      <c r="A38" s="28">
        <v>32.0</v>
      </c>
      <c r="B38" s="29" t="s">
        <v>90</v>
      </c>
      <c r="G38" s="34" t="s">
        <v>91</v>
      </c>
      <c r="I38" s="28" t="s">
        <v>77</v>
      </c>
      <c r="J38" s="28">
        <v>50.0</v>
      </c>
      <c r="K38" s="30">
        <v>0.0468</v>
      </c>
      <c r="L38" s="30">
        <f t="shared" ref="L38:L57" si="3">J38*K38</f>
        <v>2.34</v>
      </c>
      <c r="M38" s="31" t="s">
        <v>92</v>
      </c>
    </row>
    <row r="39" ht="30.0" customHeight="1">
      <c r="A39" s="32">
        <v>33.0</v>
      </c>
      <c r="B39" s="29" t="s">
        <v>93</v>
      </c>
      <c r="G39" s="34" t="s">
        <v>94</v>
      </c>
      <c r="I39" s="28" t="s">
        <v>77</v>
      </c>
      <c r="J39" s="28">
        <v>5.0</v>
      </c>
      <c r="K39" s="30">
        <v>1.006</v>
      </c>
      <c r="L39" s="30">
        <f t="shared" si="3"/>
        <v>5.03</v>
      </c>
      <c r="M39" s="31" t="s">
        <v>95</v>
      </c>
    </row>
    <row r="40" ht="30.75" customHeight="1">
      <c r="A40" s="28">
        <v>34.0</v>
      </c>
      <c r="B40" s="29" t="s">
        <v>96</v>
      </c>
      <c r="G40" s="34" t="s">
        <v>97</v>
      </c>
      <c r="I40" s="28" t="s">
        <v>77</v>
      </c>
      <c r="J40" s="28">
        <v>7.0</v>
      </c>
      <c r="K40" s="30">
        <v>0.28</v>
      </c>
      <c r="L40" s="30">
        <f t="shared" si="3"/>
        <v>1.96</v>
      </c>
      <c r="M40" s="31" t="s">
        <v>98</v>
      </c>
    </row>
    <row r="41" ht="31.5" customHeight="1">
      <c r="A41" s="28">
        <v>35.0</v>
      </c>
      <c r="B41" s="29" t="s">
        <v>99</v>
      </c>
      <c r="G41" s="34" t="s">
        <v>100</v>
      </c>
      <c r="I41" s="28" t="s">
        <v>77</v>
      </c>
      <c r="J41" s="28">
        <v>7.0</v>
      </c>
      <c r="K41" s="30">
        <v>0.4446</v>
      </c>
      <c r="L41" s="30">
        <f t="shared" si="3"/>
        <v>3.1122</v>
      </c>
      <c r="M41" s="31" t="s">
        <v>98</v>
      </c>
    </row>
    <row r="42" ht="30.0" customHeight="1">
      <c r="A42" s="28">
        <v>36.0</v>
      </c>
      <c r="B42" s="29" t="s">
        <v>101</v>
      </c>
      <c r="G42" s="34" t="s">
        <v>102</v>
      </c>
      <c r="I42" s="28" t="s">
        <v>77</v>
      </c>
      <c r="J42" s="28">
        <v>10.0</v>
      </c>
      <c r="K42" s="30">
        <v>0.4</v>
      </c>
      <c r="L42" s="30">
        <f t="shared" si="3"/>
        <v>4</v>
      </c>
      <c r="M42" s="31" t="s">
        <v>103</v>
      </c>
    </row>
    <row r="43" ht="27.75" customHeight="1">
      <c r="A43" s="32">
        <v>37.0</v>
      </c>
      <c r="B43" s="29" t="s">
        <v>104</v>
      </c>
      <c r="G43" s="34" t="s">
        <v>105</v>
      </c>
      <c r="I43" s="28" t="s">
        <v>77</v>
      </c>
      <c r="J43" s="28">
        <v>10.0</v>
      </c>
      <c r="K43" s="30">
        <v>0.632</v>
      </c>
      <c r="L43" s="30">
        <f t="shared" si="3"/>
        <v>6.32</v>
      </c>
      <c r="M43" s="28"/>
    </row>
    <row r="44" ht="25.5" customHeight="1">
      <c r="A44" s="28">
        <v>38.0</v>
      </c>
      <c r="B44" s="29" t="s">
        <v>106</v>
      </c>
      <c r="G44" s="34" t="s">
        <v>107</v>
      </c>
      <c r="I44" s="28" t="s">
        <v>65</v>
      </c>
      <c r="J44" s="28">
        <v>1.0</v>
      </c>
      <c r="K44" s="30">
        <v>2.09</v>
      </c>
      <c r="L44" s="30">
        <f t="shared" si="3"/>
        <v>2.09</v>
      </c>
      <c r="M44" s="28"/>
    </row>
    <row r="45" ht="28.5" customHeight="1">
      <c r="A45" s="28">
        <v>39.0</v>
      </c>
      <c r="B45" s="29" t="s">
        <v>108</v>
      </c>
      <c r="G45" s="34" t="s">
        <v>109</v>
      </c>
      <c r="I45" s="28" t="s">
        <v>65</v>
      </c>
      <c r="J45" s="28">
        <v>1.0</v>
      </c>
      <c r="K45" s="30">
        <v>12.21</v>
      </c>
      <c r="L45" s="30">
        <f t="shared" si="3"/>
        <v>12.21</v>
      </c>
      <c r="M45" s="28"/>
    </row>
    <row r="46" ht="30.0" customHeight="1">
      <c r="A46" s="28">
        <v>40.0</v>
      </c>
      <c r="B46" s="29" t="s">
        <v>110</v>
      </c>
      <c r="G46" s="34" t="s">
        <v>111</v>
      </c>
      <c r="I46" s="28" t="s">
        <v>65</v>
      </c>
      <c r="J46" s="28">
        <v>2.0</v>
      </c>
      <c r="K46" s="30">
        <v>1.041</v>
      </c>
      <c r="L46" s="30">
        <f t="shared" si="3"/>
        <v>2.082</v>
      </c>
      <c r="M46" s="31" t="s">
        <v>112</v>
      </c>
    </row>
    <row r="47" ht="25.5" customHeight="1">
      <c r="A47" s="32">
        <v>41.0</v>
      </c>
      <c r="B47" s="29" t="s">
        <v>113</v>
      </c>
      <c r="G47" s="34" t="s">
        <v>114</v>
      </c>
      <c r="I47" s="28" t="s">
        <v>65</v>
      </c>
      <c r="J47" s="28">
        <v>10.0</v>
      </c>
      <c r="K47" s="30">
        <v>0.417</v>
      </c>
      <c r="L47" s="30">
        <f t="shared" si="3"/>
        <v>4.17</v>
      </c>
      <c r="M47" s="31" t="s">
        <v>103</v>
      </c>
    </row>
    <row r="48" ht="25.5" customHeight="1">
      <c r="A48" s="28">
        <v>42.0</v>
      </c>
      <c r="B48" s="29" t="s">
        <v>115</v>
      </c>
      <c r="G48" s="34" t="s">
        <v>116</v>
      </c>
      <c r="I48" s="28" t="s">
        <v>65</v>
      </c>
      <c r="J48" s="28">
        <v>4.0</v>
      </c>
      <c r="K48" s="30">
        <v>1.88</v>
      </c>
      <c r="L48" s="30">
        <f t="shared" si="3"/>
        <v>7.52</v>
      </c>
      <c r="M48" s="28"/>
    </row>
    <row r="49" ht="28.5" customHeight="1">
      <c r="A49" s="28">
        <v>43.0</v>
      </c>
      <c r="B49" s="29" t="s">
        <v>117</v>
      </c>
      <c r="G49" s="34" t="s">
        <v>118</v>
      </c>
      <c r="I49" s="28" t="s">
        <v>65</v>
      </c>
      <c r="J49" s="28">
        <v>1.0</v>
      </c>
      <c r="K49" s="30">
        <v>30.37</v>
      </c>
      <c r="L49" s="30">
        <f t="shared" si="3"/>
        <v>30.37</v>
      </c>
      <c r="M49" s="28"/>
    </row>
    <row r="50" ht="28.5" customHeight="1">
      <c r="A50" s="28">
        <v>44.0</v>
      </c>
      <c r="B50" s="29" t="s">
        <v>119</v>
      </c>
      <c r="G50" s="34" t="s">
        <v>120</v>
      </c>
      <c r="I50" s="28" t="s">
        <v>71</v>
      </c>
      <c r="J50" s="28">
        <v>4.0</v>
      </c>
      <c r="K50" s="30">
        <v>0.78</v>
      </c>
      <c r="L50" s="30">
        <f t="shared" si="3"/>
        <v>3.12</v>
      </c>
      <c r="M50" s="28"/>
    </row>
    <row r="51" ht="25.5" customHeight="1">
      <c r="A51" s="32">
        <v>45.0</v>
      </c>
      <c r="B51" s="29" t="s">
        <v>121</v>
      </c>
      <c r="G51" s="34" t="s">
        <v>122</v>
      </c>
      <c r="I51" s="28" t="s">
        <v>65</v>
      </c>
      <c r="J51" s="28">
        <v>1.0</v>
      </c>
      <c r="K51" s="30">
        <v>9.34</v>
      </c>
      <c r="L51" s="30">
        <f t="shared" si="3"/>
        <v>9.34</v>
      </c>
      <c r="M51" s="28"/>
    </row>
    <row r="52" ht="27.75" customHeight="1">
      <c r="A52" s="28">
        <v>46.0</v>
      </c>
      <c r="B52" s="29" t="s">
        <v>123</v>
      </c>
      <c r="G52" s="34" t="s">
        <v>124</v>
      </c>
      <c r="I52" s="28" t="s">
        <v>65</v>
      </c>
      <c r="J52" s="28">
        <v>1.0</v>
      </c>
      <c r="K52" s="30">
        <v>11.68</v>
      </c>
      <c r="L52" s="30">
        <f t="shared" si="3"/>
        <v>11.68</v>
      </c>
      <c r="M52" s="28"/>
    </row>
    <row r="53" ht="27.0" customHeight="1">
      <c r="A53" s="28">
        <v>47.0</v>
      </c>
      <c r="B53" s="33" t="s">
        <v>125</v>
      </c>
      <c r="G53" s="34" t="s">
        <v>126</v>
      </c>
      <c r="I53" s="28" t="s">
        <v>77</v>
      </c>
      <c r="J53" s="28">
        <v>15.0</v>
      </c>
      <c r="K53" s="30">
        <v>0.1</v>
      </c>
      <c r="L53" s="30">
        <f t="shared" si="3"/>
        <v>1.5</v>
      </c>
      <c r="M53" s="31" t="s">
        <v>127</v>
      </c>
    </row>
    <row r="54" ht="30.0" customHeight="1">
      <c r="A54" s="28">
        <v>48.0</v>
      </c>
      <c r="B54" s="33" t="s">
        <v>128</v>
      </c>
      <c r="G54" s="34" t="s">
        <v>129</v>
      </c>
      <c r="I54" s="28" t="s">
        <v>77</v>
      </c>
      <c r="J54" s="28">
        <v>30.0</v>
      </c>
      <c r="K54" s="30">
        <v>0.11</v>
      </c>
      <c r="L54" s="30">
        <f t="shared" si="3"/>
        <v>3.3</v>
      </c>
      <c r="M54" s="31" t="s">
        <v>130</v>
      </c>
    </row>
    <row r="55" ht="27.0" customHeight="1">
      <c r="A55" s="32">
        <v>49.0</v>
      </c>
      <c r="B55" s="33" t="s">
        <v>131</v>
      </c>
      <c r="G55" s="34" t="s">
        <v>132</v>
      </c>
      <c r="I55" s="28" t="s">
        <v>77</v>
      </c>
      <c r="J55" s="28">
        <v>30.0</v>
      </c>
      <c r="K55" s="30">
        <v>0.09</v>
      </c>
      <c r="L55" s="30">
        <f t="shared" si="3"/>
        <v>2.7</v>
      </c>
      <c r="M55" s="31" t="s">
        <v>130</v>
      </c>
    </row>
    <row r="56" ht="27.0" customHeight="1">
      <c r="A56" s="28">
        <v>50.0</v>
      </c>
      <c r="B56" s="33" t="s">
        <v>133</v>
      </c>
      <c r="G56" s="34" t="s">
        <v>134</v>
      </c>
      <c r="I56" s="28" t="s">
        <v>77</v>
      </c>
      <c r="J56" s="28">
        <v>30.0</v>
      </c>
      <c r="K56" s="30">
        <v>0.07</v>
      </c>
      <c r="L56" s="30">
        <f t="shared" si="3"/>
        <v>2.1</v>
      </c>
      <c r="M56" s="31" t="s">
        <v>130</v>
      </c>
      <c r="R56" s="18"/>
    </row>
    <row r="57" ht="27.0" customHeight="1">
      <c r="A57" s="28">
        <v>51.0</v>
      </c>
      <c r="B57" s="33" t="s">
        <v>135</v>
      </c>
      <c r="G57" s="34" t="s">
        <v>136</v>
      </c>
      <c r="I57" s="28" t="s">
        <v>77</v>
      </c>
      <c r="J57" s="28">
        <v>1.0</v>
      </c>
      <c r="K57" s="30">
        <v>3.93</v>
      </c>
      <c r="L57" s="30">
        <f t="shared" si="3"/>
        <v>3.93</v>
      </c>
      <c r="M57" s="31" t="s">
        <v>137</v>
      </c>
      <c r="R57" s="35"/>
    </row>
    <row r="58" ht="22.5" customHeight="1">
      <c r="A58" s="32">
        <v>52.0</v>
      </c>
      <c r="B58" s="33" t="s">
        <v>138</v>
      </c>
      <c r="G58" s="34" t="s">
        <v>139</v>
      </c>
      <c r="I58" s="28" t="s">
        <v>65</v>
      </c>
      <c r="J58" s="28">
        <v>5.0</v>
      </c>
      <c r="K58" s="30">
        <v>5.8</v>
      </c>
      <c r="L58" s="30">
        <v>5.8</v>
      </c>
      <c r="M58" s="31" t="s">
        <v>140</v>
      </c>
    </row>
    <row r="59" ht="24.0" customHeight="1">
      <c r="A59" s="28">
        <v>53.0</v>
      </c>
      <c r="B59" s="33" t="s">
        <v>141</v>
      </c>
      <c r="G59" s="34" t="s">
        <v>142</v>
      </c>
      <c r="I59" s="28" t="s">
        <v>65</v>
      </c>
      <c r="J59" s="28">
        <v>2.0</v>
      </c>
      <c r="K59" s="30">
        <v>3.8</v>
      </c>
      <c r="L59" s="30">
        <v>7.6</v>
      </c>
      <c r="M59" s="31"/>
    </row>
    <row r="60" ht="24.0" customHeight="1">
      <c r="A60" s="28">
        <v>54.0</v>
      </c>
      <c r="B60" s="33" t="s">
        <v>143</v>
      </c>
      <c r="G60" s="34" t="s">
        <v>144</v>
      </c>
      <c r="I60" s="28" t="s">
        <v>65</v>
      </c>
      <c r="J60" s="28">
        <v>1.0</v>
      </c>
      <c r="K60" s="30">
        <v>2.92</v>
      </c>
      <c r="L60" s="30">
        <f t="shared" ref="L60:L63" si="4">J60*K60</f>
        <v>2.92</v>
      </c>
      <c r="M60" s="31" t="s">
        <v>103</v>
      </c>
    </row>
    <row r="61" ht="33.0" customHeight="1">
      <c r="A61" s="32">
        <v>55.0</v>
      </c>
      <c r="B61" s="33" t="s">
        <v>145</v>
      </c>
      <c r="G61" s="34" t="s">
        <v>22</v>
      </c>
      <c r="I61" s="28" t="s">
        <v>71</v>
      </c>
      <c r="J61" s="28">
        <v>3.0</v>
      </c>
      <c r="K61" s="30">
        <v>3.51</v>
      </c>
      <c r="L61" s="30">
        <f t="shared" si="4"/>
        <v>10.53</v>
      </c>
      <c r="M61" s="31"/>
    </row>
    <row r="62" ht="27.0" customHeight="1">
      <c r="A62" s="28">
        <v>56.0</v>
      </c>
      <c r="B62" s="33" t="s">
        <v>43</v>
      </c>
      <c r="G62" s="34" t="s">
        <v>44</v>
      </c>
      <c r="I62" s="28" t="s">
        <v>71</v>
      </c>
      <c r="J62" s="28">
        <v>2.0</v>
      </c>
      <c r="K62" s="30">
        <v>1.95</v>
      </c>
      <c r="L62" s="30">
        <f t="shared" si="4"/>
        <v>3.9</v>
      </c>
      <c r="M62" s="31"/>
    </row>
    <row r="63" ht="24.75" customHeight="1">
      <c r="A63" s="28">
        <v>57.0</v>
      </c>
      <c r="B63" s="33" t="s">
        <v>146</v>
      </c>
      <c r="G63" s="34" t="s">
        <v>147</v>
      </c>
      <c r="I63" s="28" t="s">
        <v>71</v>
      </c>
      <c r="J63" s="28">
        <v>4.0</v>
      </c>
      <c r="K63" s="30">
        <v>0.546</v>
      </c>
      <c r="L63" s="30">
        <f t="shared" si="4"/>
        <v>2.184</v>
      </c>
      <c r="M63" s="31"/>
    </row>
    <row r="64" ht="15.75" customHeight="1"/>
    <row r="65" ht="15.75" customHeight="1"/>
    <row r="66" ht="15.75" customHeight="1">
      <c r="K66" s="36" t="s">
        <v>148</v>
      </c>
      <c r="L66" s="37">
        <f>SUM(L10:L63)</f>
        <v>864.2682</v>
      </c>
    </row>
    <row r="67" ht="15.75" customHeight="1"/>
    <row r="68" ht="15.75" customHeight="1">
      <c r="D68" s="38"/>
      <c r="E68" s="38"/>
      <c r="K68" s="36" t="s">
        <v>149</v>
      </c>
      <c r="L68" s="37">
        <f>1200-L66</f>
        <v>335.7318</v>
      </c>
      <c r="M68" s="36" t="s">
        <v>150</v>
      </c>
    </row>
    <row r="69" ht="15.75" customHeight="1">
      <c r="D69" s="38"/>
      <c r="E69" s="39"/>
    </row>
    <row r="70" ht="15.75" customHeight="1">
      <c r="D70" s="39"/>
      <c r="E70" s="38"/>
    </row>
    <row r="71" ht="15.75" customHeight="1">
      <c r="D71" s="38"/>
      <c r="E71" s="38"/>
    </row>
    <row r="72" ht="15.75" customHeight="1">
      <c r="D72" s="38"/>
      <c r="E72" s="38"/>
    </row>
    <row r="73" ht="15.75" customHeight="1">
      <c r="D73" s="38"/>
      <c r="E73" s="38"/>
    </row>
    <row r="74" ht="15.75" customHeight="1">
      <c r="D74" s="38"/>
      <c r="E74" s="38"/>
    </row>
    <row r="75" ht="15.75" customHeight="1">
      <c r="D75" s="40"/>
      <c r="E75" s="38"/>
    </row>
    <row r="76" ht="15.75" customHeight="1">
      <c r="D76" s="38"/>
      <c r="E76" s="38"/>
    </row>
    <row r="77" ht="15.75" customHeight="1">
      <c r="D77" s="38"/>
      <c r="E77" s="38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75">
    <mergeCell ref="M26:P26"/>
    <mergeCell ref="M27:P27"/>
    <mergeCell ref="M28:P28"/>
    <mergeCell ref="M29:P29"/>
    <mergeCell ref="M30:P30"/>
    <mergeCell ref="M31:P31"/>
    <mergeCell ref="M32:P32"/>
    <mergeCell ref="M33:P33"/>
    <mergeCell ref="M34:P34"/>
    <mergeCell ref="M35:P35"/>
    <mergeCell ref="M36:P36"/>
    <mergeCell ref="M37:P37"/>
    <mergeCell ref="M38:P38"/>
    <mergeCell ref="M39:P39"/>
    <mergeCell ref="M40:P40"/>
    <mergeCell ref="M41:P41"/>
    <mergeCell ref="M42:P42"/>
    <mergeCell ref="M43:P43"/>
    <mergeCell ref="M44:P44"/>
    <mergeCell ref="M45:P45"/>
    <mergeCell ref="M46:P46"/>
    <mergeCell ref="M47:P47"/>
    <mergeCell ref="M48:P48"/>
    <mergeCell ref="M49:P49"/>
    <mergeCell ref="M50:P50"/>
    <mergeCell ref="M58:P58"/>
    <mergeCell ref="M59:P59"/>
    <mergeCell ref="M60:P60"/>
    <mergeCell ref="M61:P61"/>
    <mergeCell ref="M62:P62"/>
    <mergeCell ref="M63:P63"/>
    <mergeCell ref="M51:P51"/>
    <mergeCell ref="M52:P52"/>
    <mergeCell ref="M53:P53"/>
    <mergeCell ref="M54:P54"/>
    <mergeCell ref="M55:P55"/>
    <mergeCell ref="M56:P56"/>
    <mergeCell ref="M57:P57"/>
    <mergeCell ref="E5:L5"/>
    <mergeCell ref="A7:L7"/>
    <mergeCell ref="B8:F8"/>
    <mergeCell ref="G8:H8"/>
    <mergeCell ref="B1:D1"/>
    <mergeCell ref="F1:H1"/>
    <mergeCell ref="K1:L1"/>
    <mergeCell ref="M1:P7"/>
    <mergeCell ref="B3:D3"/>
    <mergeCell ref="F3:H3"/>
    <mergeCell ref="B5:D5"/>
    <mergeCell ref="M8:P8"/>
    <mergeCell ref="A9:P9"/>
    <mergeCell ref="B10:F10"/>
    <mergeCell ref="G10:H10"/>
    <mergeCell ref="M10:P10"/>
    <mergeCell ref="G11:H11"/>
    <mergeCell ref="M11:P11"/>
    <mergeCell ref="B11:F11"/>
    <mergeCell ref="B12:F12"/>
    <mergeCell ref="G12:H12"/>
    <mergeCell ref="B13:F13"/>
    <mergeCell ref="G13:H13"/>
    <mergeCell ref="B14:F14"/>
    <mergeCell ref="G14:H14"/>
    <mergeCell ref="M12:P12"/>
    <mergeCell ref="M13:P13"/>
    <mergeCell ref="M14:P14"/>
    <mergeCell ref="M15:P15"/>
    <mergeCell ref="M16:P16"/>
    <mergeCell ref="M17:P17"/>
    <mergeCell ref="M18:P18"/>
    <mergeCell ref="B22:F22"/>
    <mergeCell ref="G22:H22"/>
    <mergeCell ref="M19:P19"/>
    <mergeCell ref="M20:P20"/>
    <mergeCell ref="M21:P21"/>
    <mergeCell ref="M22:P22"/>
    <mergeCell ref="M23:P23"/>
    <mergeCell ref="M24:P24"/>
    <mergeCell ref="M25:P25"/>
    <mergeCell ref="B35:F35"/>
    <mergeCell ref="G35:H35"/>
    <mergeCell ref="B36:F36"/>
    <mergeCell ref="G36:H36"/>
    <mergeCell ref="B37:F37"/>
    <mergeCell ref="G37:H37"/>
    <mergeCell ref="B38:F38"/>
    <mergeCell ref="G38:H38"/>
    <mergeCell ref="B39:F39"/>
    <mergeCell ref="G39:H39"/>
    <mergeCell ref="B40:F40"/>
    <mergeCell ref="G40:H40"/>
    <mergeCell ref="B41:F41"/>
    <mergeCell ref="G41:H41"/>
    <mergeCell ref="B42:F42"/>
    <mergeCell ref="G42:H42"/>
    <mergeCell ref="B43:F43"/>
    <mergeCell ref="G43:H43"/>
    <mergeCell ref="G44:H44"/>
    <mergeCell ref="B44:F44"/>
    <mergeCell ref="B45:F45"/>
    <mergeCell ref="G45:H45"/>
    <mergeCell ref="B46:F46"/>
    <mergeCell ref="G46:H46"/>
    <mergeCell ref="B47:F47"/>
    <mergeCell ref="G47:H47"/>
    <mergeCell ref="B48:F48"/>
    <mergeCell ref="G48:H48"/>
    <mergeCell ref="B49:F49"/>
    <mergeCell ref="G49:H49"/>
    <mergeCell ref="B50:F50"/>
    <mergeCell ref="G50:H50"/>
    <mergeCell ref="G51:H51"/>
    <mergeCell ref="B51:F51"/>
    <mergeCell ref="B52:F52"/>
    <mergeCell ref="G52:H52"/>
    <mergeCell ref="B53:F53"/>
    <mergeCell ref="G53:H53"/>
    <mergeCell ref="B54:F54"/>
    <mergeCell ref="G54:H54"/>
    <mergeCell ref="B55:F55"/>
    <mergeCell ref="G55:H55"/>
    <mergeCell ref="B56:F56"/>
    <mergeCell ref="G56:H56"/>
    <mergeCell ref="B57:F57"/>
    <mergeCell ref="G57:H57"/>
    <mergeCell ref="G58:H58"/>
    <mergeCell ref="B58:F58"/>
    <mergeCell ref="B59:F59"/>
    <mergeCell ref="G59:H59"/>
    <mergeCell ref="B60:F60"/>
    <mergeCell ref="G60:H60"/>
    <mergeCell ref="B61:F61"/>
    <mergeCell ref="G61:H61"/>
    <mergeCell ref="B15:F15"/>
    <mergeCell ref="G15:H15"/>
    <mergeCell ref="B16:F16"/>
    <mergeCell ref="G16:H16"/>
    <mergeCell ref="B17:F17"/>
    <mergeCell ref="G17:H17"/>
    <mergeCell ref="G18:H18"/>
    <mergeCell ref="B18:F18"/>
    <mergeCell ref="B19:F19"/>
    <mergeCell ref="G19:H19"/>
    <mergeCell ref="B20:F20"/>
    <mergeCell ref="G20:H20"/>
    <mergeCell ref="B21:F21"/>
    <mergeCell ref="G21:H21"/>
    <mergeCell ref="B23:F23"/>
    <mergeCell ref="G23:H23"/>
    <mergeCell ref="B24:F24"/>
    <mergeCell ref="G24:H24"/>
    <mergeCell ref="B25:F25"/>
    <mergeCell ref="G25:H25"/>
    <mergeCell ref="G26:H26"/>
    <mergeCell ref="B26:F26"/>
    <mergeCell ref="B27:F27"/>
    <mergeCell ref="G27:H27"/>
    <mergeCell ref="B28:F28"/>
    <mergeCell ref="G28:H28"/>
    <mergeCell ref="B29:F29"/>
    <mergeCell ref="G29:H29"/>
    <mergeCell ref="B30:F30"/>
    <mergeCell ref="G30:H30"/>
    <mergeCell ref="G31:H31"/>
    <mergeCell ref="B31:F31"/>
    <mergeCell ref="B32:F32"/>
    <mergeCell ref="G32:H32"/>
    <mergeCell ref="B33:F33"/>
    <mergeCell ref="G33:H33"/>
    <mergeCell ref="B34:F34"/>
    <mergeCell ref="G34:H34"/>
    <mergeCell ref="B62:F62"/>
    <mergeCell ref="G62:H62"/>
    <mergeCell ref="B63:F63"/>
    <mergeCell ref="G63:H63"/>
  </mergeCells>
  <dataValidations>
    <dataValidation type="list" allowBlank="1" showErrorMessage="1" sqref="I58:I63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