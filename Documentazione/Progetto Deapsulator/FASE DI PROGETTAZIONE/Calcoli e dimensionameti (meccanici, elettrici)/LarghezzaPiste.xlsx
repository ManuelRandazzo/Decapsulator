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92\AC\Temp\"/>
    </mc:Choice>
  </mc:AlternateContent>
  <xr:revisionPtr revIDLastSave="0" documentId="8_{AF17CA3F-D727-5847-ADF4-FE13B18B655A}" xr6:coauthVersionLast="47" xr6:coauthVersionMax="47" xr10:uidLastSave="{00000000-0000-0000-0000-000000000000}"/>
  <bookViews>
    <workbookView xWindow="-60" yWindow="-60" windowWidth="15480" windowHeight="11640" tabRatio="500" xr2:uid="{01AAA52C-5D3B-455D-B929-D02AB1C801FE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6" i="1"/>
  <c r="J97" i="1"/>
  <c r="D19" i="1"/>
  <c r="D20" i="1"/>
  <c r="D21" i="1"/>
  <c r="B13" i="1"/>
  <c r="E95" i="1"/>
  <c r="E96" i="1"/>
  <c r="E97" i="1"/>
  <c r="C7" i="1"/>
  <c r="E104" i="1"/>
  <c r="F101" i="1"/>
  <c r="E102" i="1"/>
  <c r="J102" i="1"/>
  <c r="B14" i="1"/>
  <c r="J106" i="1"/>
  <c r="D7" i="1"/>
  <c r="E7" i="1"/>
  <c r="F7" i="1"/>
  <c r="C8" i="1"/>
  <c r="D8" i="1"/>
  <c r="E8" i="1"/>
  <c r="F8" i="1"/>
  <c r="C9" i="1"/>
  <c r="D9" i="1"/>
  <c r="E9" i="1"/>
  <c r="F9" i="1"/>
  <c r="E14" i="1"/>
  <c r="F14" i="1"/>
  <c r="B15" i="1"/>
  <c r="C15" i="1"/>
  <c r="F16" i="1"/>
  <c r="F17" i="1"/>
  <c r="D18" i="1"/>
  <c r="J95" i="1"/>
  <c r="F97" i="1"/>
  <c r="E101" i="1"/>
  <c r="J101" i="1"/>
  <c r="F102" i="1"/>
  <c r="J103" i="1"/>
  <c r="J104" i="1"/>
</calcChain>
</file>

<file path=xl/sharedStrings.xml><?xml version="1.0" encoding="utf-8"?>
<sst xmlns="http://schemas.openxmlformats.org/spreadsheetml/2006/main" count="52" uniqueCount="45">
  <si>
    <t>Unità di misura</t>
  </si>
  <si>
    <t>Strato in cui vi è la traccia</t>
  </si>
  <si>
    <t>Corrente sulla pista</t>
  </si>
  <si>
    <t>Lunghezza della pista</t>
  </si>
  <si>
    <t>Temperatura Ambiente</t>
  </si>
  <si>
    <r>
      <rPr>
        <b/>
        <sz val="11"/>
        <rFont val="Arial"/>
        <family val="2"/>
      </rPr>
      <t>aumento della temperatura massima consentita (T</t>
    </r>
    <r>
      <rPr>
        <vertAlign val="subscript"/>
        <sz val="11"/>
        <rFont val="Arial"/>
        <family val="2"/>
      </rPr>
      <t xml:space="preserve">RISE </t>
    </r>
    <r>
      <rPr>
        <sz val="11"/>
        <rFont val="Arial"/>
        <family val="2"/>
      </rPr>
      <t>→ ipotizzata)</t>
    </r>
  </si>
  <si>
    <t>Spessore del rame sulla basetta</t>
  </si>
  <si>
    <t>mm</t>
  </si>
  <si>
    <t>esterno</t>
  </si>
  <si>
    <t>A</t>
  </si>
  <si>
    <t>°C</t>
  </si>
  <si>
    <r>
      <rPr>
        <sz val="10"/>
        <rFont val="Times New Roman"/>
        <family val="1"/>
      </rPr>
      <t>µ</t>
    </r>
    <r>
      <rPr>
        <sz val="10"/>
        <rFont val="Arial"/>
        <family val="2"/>
      </rPr>
      <t>m</t>
    </r>
  </si>
  <si>
    <t>Resistenza della pista [Ω]</t>
  </si>
  <si>
    <t>Caduta di Tensione sulla pista [V]</t>
  </si>
  <si>
    <t>Perdita di Energia [W]</t>
  </si>
  <si>
    <t>DATO REALE</t>
  </si>
  <si>
    <t>DATO SIGNIFICATIVO</t>
  </si>
  <si>
    <t>DATO LEGGIBILE</t>
  </si>
  <si>
    <t>Area sezione</t>
  </si>
  <si>
    <t>mils to mm</t>
  </si>
  <si>
    <t>mm to mils</t>
  </si>
  <si>
    <t>mils^2</t>
  </si>
  <si>
    <t>mm^2</t>
  </si>
  <si>
    <t>Costanti per strati interni</t>
  </si>
  <si>
    <t>Costanti per strati esterni</t>
  </si>
  <si>
    <t>ka</t>
  </si>
  <si>
    <t>kb</t>
  </si>
  <si>
    <t>kc</t>
  </si>
  <si>
    <t>Larghezza minima non convertita</t>
  </si>
  <si>
    <t>unità di misura</t>
  </si>
  <si>
    <t>conversioni</t>
  </si>
  <si>
    <t>scelta</t>
  </si>
  <si>
    <t>mils</t>
  </si>
  <si>
    <t>scelta→</t>
  </si>
  <si>
    <t>mA</t>
  </si>
  <si>
    <r>
      <rPr>
        <sz val="10"/>
        <rFont val="Times New Roman"/>
        <family val="1"/>
      </rPr>
      <t>Ω*</t>
    </r>
    <r>
      <rPr>
        <sz val="10"/>
        <rFont val="Arial"/>
        <family val="2"/>
      </rPr>
      <t>mils</t>
    </r>
  </si>
  <si>
    <r>
      <rPr>
        <sz val="10"/>
        <rFont val="Times New Roman"/>
        <family val="1"/>
      </rPr>
      <t>Ω</t>
    </r>
    <r>
      <rPr>
        <sz val="10"/>
        <rFont val="Arial"/>
        <family val="2"/>
      </rPr>
      <t>*mm</t>
    </r>
  </si>
  <si>
    <t>µA</t>
  </si>
  <si>
    <t>resistività rame (20 °C)</t>
  </si>
  <si>
    <t>resistività rame (Ttot °C)</t>
  </si>
  <si>
    <t>resistività rame scelta→</t>
  </si>
  <si>
    <t>interno</t>
  </si>
  <si>
    <t>Ttot [°C]</t>
  </si>
  <si>
    <t>α [°C^(−1)]</t>
  </si>
  <si>
    <t>Resistenza della 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</si>
</sst>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00000000000"/>
    <numFmt numFmtId="166" formatCode="0.0000"/>
  </numFmts>
  <fonts count="11" x14ac:knownFonts="1">
    <font>
      <sz val="10"/>
      <name val="Arial"/>
      <family val="2"/>
    </font>
    <font>
      <b/>
      <sz val="11"/>
      <name val="Arial"/>
      <family val="2"/>
    </font>
    <font>
      <vertAlign val="sub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51"/>
      </patternFill>
    </fill>
    <fill>
      <patternFill patternType="solid">
        <fgColor indexed="50"/>
        <bgColor indexed="57"/>
      </patternFill>
    </fill>
    <fill>
      <patternFill patternType="solid">
        <fgColor indexed="52"/>
        <bgColor indexed="53"/>
      </patternFill>
    </fill>
    <fill>
      <patternFill patternType="solid">
        <fgColor indexed="29"/>
        <bgColor indexed="46"/>
      </patternFill>
    </fill>
    <fill>
      <patternFill patternType="solid">
        <fgColor indexed="45"/>
        <bgColor indexed="47"/>
      </patternFill>
    </fill>
    <fill>
      <patternFill patternType="solid">
        <fgColor indexed="24"/>
        <bgColor indexed="23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63"/>
      </patternFill>
    </fill>
    <fill>
      <patternFill patternType="solid">
        <fgColor indexed="13"/>
        <bgColor indexed="34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57"/>
      </patternFill>
    </fill>
    <fill>
      <patternFill patternType="solid">
        <fgColor indexed="10"/>
        <bgColor indexed="60"/>
      </patternFill>
    </fill>
    <fill>
      <patternFill patternType="solid">
        <fgColor indexed="20"/>
        <bgColor indexed="36"/>
      </patternFill>
    </fill>
    <fill>
      <patternFill patternType="solid">
        <fgColor indexed="25"/>
        <bgColor indexed="61"/>
      </patternFill>
    </fill>
    <fill>
      <patternFill patternType="solid">
        <fgColor indexed="46"/>
        <bgColor indexed="29"/>
      </patternFill>
    </fill>
    <fill>
      <patternFill patternType="solid">
        <fgColor indexed="51"/>
        <bgColor indexed="43"/>
      </patternFill>
    </fill>
    <fill>
      <patternFill patternType="solid">
        <fgColor indexed="57"/>
        <bgColor indexed="55"/>
      </patternFill>
    </fill>
    <fill>
      <patternFill patternType="solid">
        <fgColor indexed="30"/>
        <bgColor indexed="5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10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A1467E"/>
      <rgbColor rgb="00FFFFCC"/>
      <rgbColor rgb="00DEE6EF"/>
      <rgbColor rgb="00660066"/>
      <rgbColor rgb="00FF7B59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4EA6B"/>
      <rgbColor rgb="0099CCFF"/>
      <rgbColor rgb="00FFA6A6"/>
      <rgbColor rgb="00FF6D6D"/>
      <rgbColor rgb="00FFCC99"/>
      <rgbColor rgb="003366FF"/>
      <rgbColor rgb="0033CCCC"/>
      <rgbColor rgb="0081D41A"/>
      <rgbColor rgb="00BBE33D"/>
      <rgbColor rgb="00FF860D"/>
      <rgbColor rgb="00FF8000"/>
      <rgbColor rgb="00666699"/>
      <rgbColor rgb="0077BC65"/>
      <rgbColor rgb="00003366"/>
      <rgbColor rgb="005EB91E"/>
      <rgbColor rgb="00003300"/>
      <rgbColor rgb="00333300"/>
      <rgbColor rgb="00993300"/>
      <rgbColor rgb="00993366"/>
      <rgbColor rgb="0055308D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D90F-EE07-4546-A338-1EA626C80B0E}">
  <dimension ref="A1:R109"/>
  <sheetViews>
    <sheetView tabSelected="1" zoomScale="140" zoomScaleNormal="140" workbookViewId="0">
      <selection activeCell="C75" sqref="C75"/>
    </sheetView>
  </sheetViews>
  <sheetFormatPr defaultColWidth="11.59375" defaultRowHeight="12.75" x14ac:dyDescent="0.15"/>
  <cols>
    <col min="1" max="1" width="10.11328125" customWidth="1"/>
    <col min="2" max="2" width="21.3046875" customWidth="1"/>
    <col min="3" max="3" width="20.359375" customWidth="1"/>
    <col min="4" max="4" width="26.4296875" customWidth="1"/>
    <col min="5" max="5" width="34.65625" customWidth="1"/>
    <col min="6" max="6" width="35.87109375" customWidth="1"/>
    <col min="7" max="7" width="26.0234375" customWidth="1"/>
    <col min="8" max="8" width="16.85546875" customWidth="1"/>
    <col min="9" max="10" width="16.1796875" customWidth="1"/>
  </cols>
  <sheetData>
    <row r="1" spans="1:17" ht="30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N1" s="8"/>
      <c r="O1" s="8"/>
      <c r="P1" s="8"/>
      <c r="Q1" s="8"/>
    </row>
    <row r="2" spans="1:17" ht="53.25" customHeight="1" x14ac:dyDescent="0.15">
      <c r="A2" s="9" t="s">
        <v>7</v>
      </c>
      <c r="B2" s="57" t="s">
        <v>8</v>
      </c>
      <c r="C2" s="9">
        <v>2.5</v>
      </c>
      <c r="D2" s="9">
        <v>15</v>
      </c>
      <c r="E2" s="9">
        <v>30</v>
      </c>
      <c r="F2" s="9">
        <v>10</v>
      </c>
      <c r="G2" s="9">
        <v>35</v>
      </c>
      <c r="N2" s="8"/>
      <c r="O2" s="8"/>
      <c r="P2" s="8"/>
      <c r="Q2" s="8"/>
    </row>
    <row r="3" spans="1:17" ht="14.25" x14ac:dyDescent="0.15">
      <c r="A3" s="9" t="s">
        <v>9</v>
      </c>
      <c r="B3" s="57"/>
      <c r="C3" s="9" t="str">
        <f>A$3</f>
        <v>A</v>
      </c>
      <c r="D3" s="9" t="str">
        <f>A$2</f>
        <v>mm</v>
      </c>
      <c r="E3" s="9" t="s">
        <v>10</v>
      </c>
      <c r="F3" s="9" t="s">
        <v>10</v>
      </c>
      <c r="G3" s="10" t="s">
        <v>11</v>
      </c>
      <c r="N3" s="8"/>
      <c r="O3" s="8"/>
      <c r="P3" s="8"/>
      <c r="Q3" s="8"/>
    </row>
    <row r="4" spans="1:17" x14ac:dyDescent="0.15">
      <c r="A4" s="11"/>
      <c r="B4" s="11"/>
      <c r="C4" s="11"/>
      <c r="D4" s="11"/>
      <c r="E4" s="11"/>
      <c r="F4" s="11"/>
      <c r="G4" s="11"/>
      <c r="H4" s="12"/>
      <c r="N4" s="8"/>
      <c r="O4" s="8"/>
      <c r="P4" s="8"/>
      <c r="Q4" s="8"/>
    </row>
    <row r="5" spans="1:17" x14ac:dyDescent="0.15">
      <c r="A5" s="11"/>
      <c r="B5" s="11"/>
      <c r="C5" s="11"/>
      <c r="D5" s="11"/>
      <c r="E5" s="11"/>
      <c r="F5" s="11"/>
      <c r="G5" s="11"/>
      <c r="J5" s="12"/>
      <c r="K5" s="12"/>
      <c r="L5" s="8"/>
      <c r="M5" s="8"/>
      <c r="N5" s="8"/>
      <c r="O5" s="8"/>
      <c r="P5" s="8"/>
      <c r="Q5" s="8"/>
    </row>
    <row r="6" spans="1:17" ht="26.25" x14ac:dyDescent="0.15">
      <c r="A6" s="11"/>
      <c r="B6" s="11"/>
      <c r="C6" s="13" t="str">
        <f>_xlfn.CONCAT("Larghezza minima [", A$2, "]")</f>
        <v>Larghezza minima [mm]</v>
      </c>
      <c r="D6" s="2" t="s">
        <v>12</v>
      </c>
      <c r="E6" s="14" t="s">
        <v>13</v>
      </c>
      <c r="F6" s="15" t="s">
        <v>14</v>
      </c>
      <c r="G6" s="11"/>
      <c r="J6" s="12"/>
      <c r="K6" s="12"/>
      <c r="L6" s="8"/>
      <c r="M6" s="8"/>
      <c r="N6" s="8"/>
      <c r="O6" s="8"/>
      <c r="P6" s="8"/>
      <c r="Q6" s="8"/>
    </row>
    <row r="7" spans="1:17" x14ac:dyDescent="0.15">
      <c r="A7" s="11"/>
      <c r="B7" s="16" t="s">
        <v>15</v>
      </c>
      <c r="C7" s="17">
        <f>E$97</f>
        <v>1.0630733018590901</v>
      </c>
      <c r="D7" s="18">
        <f>$J$106</f>
        <v>7.4964850767303658E-3</v>
      </c>
      <c r="E7" s="18">
        <f>J$106*($C$2/J$97)</f>
        <v>1.8741212691825916E-2</v>
      </c>
      <c r="F7" s="19">
        <f>E$7*(C$2/J$97)</f>
        <v>4.6853031729564787E-2</v>
      </c>
      <c r="G7" s="11"/>
      <c r="J7" s="12"/>
      <c r="K7" s="12"/>
      <c r="L7" s="8"/>
      <c r="M7" s="8"/>
      <c r="N7" s="8"/>
      <c r="O7" s="8"/>
      <c r="P7" s="8"/>
      <c r="Q7" s="8"/>
    </row>
    <row r="8" spans="1:17" x14ac:dyDescent="0.15">
      <c r="A8" s="11"/>
      <c r="B8" s="20" t="s">
        <v>16</v>
      </c>
      <c r="C8" s="21">
        <f>ROUND($C$7, 4)</f>
        <v>1.0630999999999999</v>
      </c>
      <c r="D8" s="21">
        <f>ROUND($D$7, 4)</f>
        <v>7.4999999999999997E-3</v>
      </c>
      <c r="E8" s="21">
        <f>ROUND(E$7, 4)</f>
        <v>1.8700000000000001E-2</v>
      </c>
      <c r="F8" s="21">
        <f>ROUND(F$7, 4)</f>
        <v>4.6899999999999997E-2</v>
      </c>
      <c r="G8" s="11"/>
      <c r="J8" s="12"/>
      <c r="K8" s="12"/>
      <c r="L8" s="8"/>
      <c r="M8" s="8"/>
      <c r="N8" s="8"/>
      <c r="O8" s="8"/>
      <c r="P8" s="8"/>
      <c r="Q8" s="8"/>
    </row>
    <row r="9" spans="1:17" ht="14.25" x14ac:dyDescent="0.15">
      <c r="A9" s="11"/>
      <c r="B9" s="22" t="s">
        <v>17</v>
      </c>
      <c r="C9" s="23" t="str">
        <f>ROUND($C$8,2)&amp; " " &amp; $A$2</f>
        <v>1,06 mm</v>
      </c>
      <c r="D9" s="24" t="str">
        <f>IF($D$8&gt;=1000000,ROUND($D$8/1000000,4)&amp;" MΩ",IF($D$8&gt;=1000,ROUND($D$8/1000,4)&amp;" kΩ",IF($D$8&gt;=1,ROUND($D$8,4)&amp;" Ω",IF($D$8&gt;=0.001,ROUND($D$8*1000,4)&amp;" mΩ",IF($D$8&gt;=0.000001,ROUND($D$8*1000000,4)&amp;" μΩ",ROUND($D$8*1000000000,4)&amp;" nΩ")))))</f>
        <v>7,5 mΩ</v>
      </c>
      <c r="E9" s="25" t="str">
        <f>IF($E$8&gt;=1000000,ROUND($E$8/1000000,4)&amp;" MV",IF($E$8&gt;=1000,ROUND($E$8/1000,4)&amp;" kV",IF($E$8&gt;=1,ROUND($E$8,4)&amp;" V",IF($E$8&gt;=0.001,ROUND($E$8*1000,4)&amp;" mV",IF($E$8&gt;=0.000001,ROUND($E$8*1000000,4)&amp;" μV",ROUND($E$8*1000000000,4)&amp;" nV")))))</f>
        <v>18,7 mV</v>
      </c>
      <c r="F9" s="26" t="str">
        <f>IF($F$8&gt;=1000000,ROUND($F$8/1000000,4)&amp;" MW",IF($F$8&gt;=1000,ROUND($F$8/1000,4)&amp;" kW",IF($F$8&gt;=1,ROUND($F$8,4)&amp;" W",IF($F$8&gt;=0.001,ROUND($F$8*1000,4)&amp;" mW",IF($F$8&gt;=0.000001,ROUND($F$8*1000000,4)&amp;" μW",ROUND($F$8*1000000000,4)&amp;" nW")))))</f>
        <v>46,9 mW</v>
      </c>
      <c r="G9" s="11"/>
      <c r="J9" s="12"/>
      <c r="K9" s="12"/>
      <c r="L9" s="8"/>
      <c r="M9" s="8"/>
      <c r="N9" s="8"/>
      <c r="O9" s="8"/>
      <c r="P9" s="8"/>
      <c r="Q9" s="8"/>
    </row>
    <row r="10" spans="1:17" ht="13.5" x14ac:dyDescent="0.15">
      <c r="A10" s="11"/>
      <c r="B10" s="11"/>
      <c r="C10" s="11"/>
      <c r="D10" s="27"/>
      <c r="E10" s="11"/>
      <c r="F10" s="11"/>
      <c r="G10" s="11"/>
      <c r="J10" s="12"/>
      <c r="K10" s="12"/>
      <c r="L10" s="8"/>
      <c r="M10" s="8"/>
      <c r="N10" s="8"/>
      <c r="O10" s="8"/>
      <c r="P10" s="8"/>
      <c r="Q10" s="8"/>
    </row>
    <row r="11" spans="1:17" ht="13.5" x14ac:dyDescent="0.15">
      <c r="A11" s="11"/>
      <c r="B11" s="11"/>
      <c r="C11" s="11"/>
      <c r="D11" s="27"/>
      <c r="E11" s="11"/>
      <c r="F11" s="11"/>
      <c r="G11" s="11"/>
      <c r="H11" s="12"/>
      <c r="I11" s="12"/>
      <c r="J11" s="12"/>
      <c r="K11" s="12"/>
      <c r="L11" s="8"/>
      <c r="M11" s="8"/>
      <c r="N11" s="8"/>
      <c r="O11" s="8"/>
      <c r="P11" s="8"/>
      <c r="Q11" s="8"/>
    </row>
    <row r="12" spans="1:17" ht="13.9" customHeight="1" x14ac:dyDescent="0.15">
      <c r="A12" s="28"/>
      <c r="B12" s="58" t="s">
        <v>18</v>
      </c>
      <c r="C12" s="58"/>
      <c r="D12" s="28"/>
      <c r="E12" s="29" t="s">
        <v>19</v>
      </c>
      <c r="F12" s="30" t="s">
        <v>20</v>
      </c>
      <c r="G12" s="11"/>
      <c r="J12" s="12"/>
      <c r="K12" s="12"/>
      <c r="L12" s="8"/>
      <c r="M12" s="8"/>
      <c r="N12" s="8"/>
      <c r="O12" s="8"/>
      <c r="P12" s="8"/>
      <c r="Q12" s="8"/>
    </row>
    <row r="13" spans="1:17" ht="13.5" x14ac:dyDescent="0.15">
      <c r="A13" s="28"/>
      <c r="B13" s="9">
        <f>(((C$2/J$97) / (D$19*($F$2^$D$20)))^(1/$D$21))</f>
        <v>57.671841969539571</v>
      </c>
      <c r="C13" s="31" t="s">
        <v>21</v>
      </c>
      <c r="D13" s="27"/>
      <c r="E13" s="32">
        <v>25</v>
      </c>
      <c r="F13" s="33">
        <v>0.63500000000000001</v>
      </c>
      <c r="G13" s="11"/>
      <c r="J13" s="12"/>
      <c r="K13" s="12"/>
      <c r="L13" s="8"/>
      <c r="M13" s="8"/>
      <c r="N13" s="8"/>
      <c r="O13" s="8"/>
      <c r="P13" s="8"/>
      <c r="Q13" s="8"/>
    </row>
    <row r="14" spans="1:17" ht="13.5" x14ac:dyDescent="0.15">
      <c r="A14" s="28"/>
      <c r="B14" s="9">
        <f>$B$13*($I$95^2)</f>
        <v>3.720756556506815E-2</v>
      </c>
      <c r="C14" s="31" t="s">
        <v>22</v>
      </c>
      <c r="D14" s="27"/>
      <c r="E14" s="34">
        <f>E13*0.0254</f>
        <v>0.63500000000000001</v>
      </c>
      <c r="F14" s="35">
        <f>F13*39.3700787401575</f>
        <v>25.000000000000014</v>
      </c>
      <c r="G14" s="11"/>
      <c r="J14" s="12"/>
      <c r="K14" s="12"/>
      <c r="L14" s="8"/>
      <c r="M14" s="8"/>
      <c r="N14" s="8"/>
      <c r="O14" s="8"/>
      <c r="P14" s="8"/>
      <c r="Q14" s="8"/>
    </row>
    <row r="15" spans="1:17" x14ac:dyDescent="0.15">
      <c r="A15" s="28"/>
      <c r="B15" s="36">
        <f>IF($A$2="mm",$B$14,$B$13)</f>
        <v>3.720756556506815E-2</v>
      </c>
      <c r="C15" s="37" t="str">
        <f>_xlfn.CONCAT($A$2,"^2", "       &lt;-- Scelta")</f>
        <v>mm^2       &lt;-- Scelta</v>
      </c>
      <c r="D15" s="11"/>
      <c r="F15" s="11"/>
      <c r="G15" s="11"/>
      <c r="J15" s="12"/>
      <c r="K15" s="12"/>
      <c r="L15" s="8"/>
      <c r="M15" s="8"/>
      <c r="N15" s="8"/>
      <c r="O15" s="8"/>
      <c r="P15" s="8"/>
      <c r="Q15" s="8"/>
    </row>
    <row r="16" spans="1:17" ht="13.5" x14ac:dyDescent="0.15">
      <c r="A16" s="11"/>
      <c r="B16" s="11"/>
      <c r="C16" s="11"/>
      <c r="D16" s="11"/>
      <c r="E16" s="11"/>
      <c r="F16" s="38" t="str">
        <f>_xlfn.CONCAT("Resistività Rame [Ω*", $A$2, "] a ", $E$2+$F$2,"°C")</f>
        <v>Resistività Rame [Ω*mm] a 40°C</v>
      </c>
      <c r="G16" s="11"/>
      <c r="J16" s="12"/>
      <c r="K16" s="12"/>
      <c r="L16" s="8"/>
      <c r="M16" s="8"/>
      <c r="N16" s="8"/>
      <c r="O16" s="8"/>
      <c r="P16" s="8"/>
      <c r="Q16" s="8"/>
    </row>
    <row r="17" spans="1:18" x14ac:dyDescent="0.15">
      <c r="A17" s="11"/>
      <c r="B17" s="11"/>
      <c r="C17" s="11"/>
      <c r="D17" s="11"/>
      <c r="E17" s="11"/>
      <c r="F17" s="9">
        <f>IF(A$2="mm",$F$101,$E$101)</f>
        <v>1.8595064000000002E-5</v>
      </c>
      <c r="G17" s="11"/>
      <c r="J17" s="12"/>
      <c r="K17" s="12"/>
      <c r="L17" s="8"/>
      <c r="M17" s="8"/>
      <c r="N17" s="8"/>
      <c r="P17" s="8"/>
      <c r="Q17" s="8"/>
    </row>
    <row r="18" spans="1:18" ht="26.25" x14ac:dyDescent="0.15">
      <c r="A18" s="11"/>
      <c r="B18" s="39" t="s">
        <v>23</v>
      </c>
      <c r="C18" s="14" t="s">
        <v>24</v>
      </c>
      <c r="D18" s="30" t="str">
        <f>_xlfn.CONCAT("COSTANTI USATE (", $B$2,")")</f>
        <v>COSTANTI USATE (esterno)</v>
      </c>
      <c r="E18" s="11"/>
      <c r="F18" s="11"/>
      <c r="G18" s="11"/>
      <c r="H18" s="12"/>
      <c r="I18" s="12"/>
      <c r="J18" s="12"/>
      <c r="K18" s="12"/>
      <c r="L18" s="8"/>
      <c r="M18" s="8"/>
      <c r="N18" s="8"/>
      <c r="P18" s="8"/>
      <c r="Q18" s="8"/>
    </row>
    <row r="19" spans="1:18" x14ac:dyDescent="0.15">
      <c r="A19" s="35" t="s">
        <v>25</v>
      </c>
      <c r="B19" s="9">
        <v>2.4E-2</v>
      </c>
      <c r="C19" s="9">
        <v>4.8000000000000001E-2</v>
      </c>
      <c r="D19" s="35">
        <f t="shared" ref="D19:D21" si="0">IF(B$2="interno", B19, C19)</f>
        <v>4.8000000000000001E-2</v>
      </c>
      <c r="E19" s="11"/>
      <c r="F19" s="11"/>
      <c r="G19" s="11"/>
      <c r="N19" s="8"/>
      <c r="O19" s="8"/>
      <c r="P19" s="8"/>
      <c r="Q19" s="8"/>
    </row>
    <row r="20" spans="1:18" x14ac:dyDescent="0.15">
      <c r="A20" s="34" t="s">
        <v>26</v>
      </c>
      <c r="B20" s="9">
        <v>0.44</v>
      </c>
      <c r="C20" s="9">
        <v>0.44</v>
      </c>
      <c r="D20" s="35">
        <f t="shared" si="0"/>
        <v>0.44</v>
      </c>
      <c r="E20" s="11"/>
      <c r="F20" s="11"/>
      <c r="G20" s="11"/>
    </row>
    <row r="21" spans="1:18" x14ac:dyDescent="0.15">
      <c r="A21" s="40" t="s">
        <v>27</v>
      </c>
      <c r="B21" s="9">
        <v>0.72499999999999998</v>
      </c>
      <c r="C21" s="9">
        <v>0.72499999999999998</v>
      </c>
      <c r="D21" s="35">
        <f t="shared" si="0"/>
        <v>0.72499999999999998</v>
      </c>
      <c r="E21" s="11"/>
      <c r="F21" s="11"/>
      <c r="G21" s="11"/>
      <c r="O21" s="8"/>
      <c r="P21" s="8"/>
      <c r="Q21" s="8"/>
      <c r="R21" s="8"/>
    </row>
    <row r="22" spans="1:18" x14ac:dyDescent="0.15">
      <c r="A22" s="12"/>
      <c r="B22" s="12"/>
      <c r="C22" s="12"/>
      <c r="D22" s="12"/>
      <c r="E22" s="12"/>
      <c r="F22" s="12"/>
      <c r="G22" s="12"/>
      <c r="O22" s="8"/>
      <c r="P22" s="8"/>
      <c r="Q22" s="8"/>
      <c r="R22" s="8"/>
    </row>
    <row r="23" spans="1:18" x14ac:dyDescent="0.15">
      <c r="D23" s="12"/>
      <c r="O23" s="8"/>
      <c r="P23" s="8"/>
      <c r="Q23" s="8"/>
      <c r="R23" s="8"/>
    </row>
    <row r="24" spans="1:18" x14ac:dyDescent="0.15">
      <c r="D24" s="12"/>
      <c r="E24" s="12"/>
      <c r="O24" s="8"/>
      <c r="P24" s="8"/>
      <c r="Q24" s="8"/>
      <c r="R24" s="8"/>
    </row>
    <row r="25" spans="1:18" x14ac:dyDescent="0.15">
      <c r="O25" s="8"/>
      <c r="P25" s="8"/>
      <c r="Q25" s="8"/>
      <c r="R25" s="8"/>
    </row>
    <row r="26" spans="1:18" x14ac:dyDescent="0.15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x14ac:dyDescent="0.15"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15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15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15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15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94" spans="4:10" x14ac:dyDescent="0.15">
      <c r="D94" s="59" t="s">
        <v>28</v>
      </c>
      <c r="E94" s="59"/>
      <c r="F94" s="59"/>
      <c r="G94" s="12"/>
      <c r="H94" s="42" t="s">
        <v>29</v>
      </c>
      <c r="I94" s="42" t="s">
        <v>30</v>
      </c>
      <c r="J94" s="43" t="s">
        <v>31</v>
      </c>
    </row>
    <row r="95" spans="4:10" x14ac:dyDescent="0.15">
      <c r="D95" s="44"/>
      <c r="E95" s="45">
        <f>$B$13 / (G$2/25.4)</f>
        <v>41.853279600751577</v>
      </c>
      <c r="F95" s="44" t="s">
        <v>21</v>
      </c>
      <c r="G95" s="12"/>
      <c r="H95" s="42" t="s">
        <v>7</v>
      </c>
      <c r="I95" s="42">
        <v>2.5399999999999999E-2</v>
      </c>
      <c r="J95" s="60">
        <f>IF($A$2=$H$95,$I$95,$I$96)</f>
        <v>2.5399999999999999E-2</v>
      </c>
    </row>
    <row r="96" spans="4:10" x14ac:dyDescent="0.15">
      <c r="D96" s="44"/>
      <c r="E96" s="45">
        <f>$E$95*$I$95</f>
        <v>1.0630733018590901</v>
      </c>
      <c r="F96" s="44" t="s">
        <v>22</v>
      </c>
      <c r="G96" s="12"/>
      <c r="H96" s="42" t="s">
        <v>32</v>
      </c>
      <c r="I96" s="42">
        <v>1</v>
      </c>
      <c r="J96" s="60"/>
    </row>
    <row r="97" spans="4:11" x14ac:dyDescent="0.15">
      <c r="D97" s="46" t="s">
        <v>33</v>
      </c>
      <c r="E97" s="47">
        <f>IF(A$2="mm",$E$96,$E$95)</f>
        <v>1.0630733018590901</v>
      </c>
      <c r="F97" s="48" t="str">
        <f>$A$2</f>
        <v>mm</v>
      </c>
      <c r="G97" s="12"/>
      <c r="H97" s="42" t="s">
        <v>9</v>
      </c>
      <c r="I97" s="42">
        <v>1</v>
      </c>
      <c r="J97" s="60">
        <f>IF($A$3=$H$97,$I$97,IF($A$3=$H$98,$I$98,$I$99))</f>
        <v>1</v>
      </c>
    </row>
    <row r="98" spans="4:11" x14ac:dyDescent="0.15">
      <c r="D98" s="12"/>
      <c r="E98" s="12"/>
      <c r="F98" s="12"/>
      <c r="G98" s="12"/>
      <c r="H98" s="42" t="s">
        <v>34</v>
      </c>
      <c r="I98" s="42">
        <v>1000</v>
      </c>
      <c r="J98" s="60"/>
    </row>
    <row r="99" spans="4:11" ht="13.5" x14ac:dyDescent="0.15">
      <c r="D99" s="49"/>
      <c r="E99" s="50" t="s">
        <v>35</v>
      </c>
      <c r="F99" s="50" t="s">
        <v>36</v>
      </c>
      <c r="G99" s="12"/>
      <c r="H99" s="51" t="s">
        <v>37</v>
      </c>
      <c r="I99" s="42">
        <v>1000000</v>
      </c>
      <c r="J99" s="60"/>
    </row>
    <row r="100" spans="4:11" x14ac:dyDescent="0.15">
      <c r="D100" s="42" t="s">
        <v>38</v>
      </c>
      <c r="E100" s="44">
        <v>6.7869999999999996E-4</v>
      </c>
      <c r="F100" s="44">
        <v>1.7240000000000001E-5</v>
      </c>
      <c r="G100" s="12"/>
      <c r="H100" s="12"/>
      <c r="I100" s="12"/>
      <c r="J100" s="12"/>
    </row>
    <row r="101" spans="4:11" ht="24" x14ac:dyDescent="0.15">
      <c r="D101" s="41" t="s">
        <v>39</v>
      </c>
      <c r="E101" s="44">
        <f>$E$100*(1+E$105*(E$104-20))</f>
        <v>7.3204581999999994E-4</v>
      </c>
      <c r="F101" s="44">
        <f>$F$100*(1+E$105*(E$104-20))</f>
        <v>1.8595064000000002E-5</v>
      </c>
      <c r="G101" s="12"/>
      <c r="H101" s="42" t="s">
        <v>1</v>
      </c>
      <c r="I101" s="12"/>
      <c r="J101" s="52" t="str">
        <f>_xlfn.CONCAT("Lunghezza pista [",$A$2,"]")</f>
        <v>Lunghezza pista [mm]</v>
      </c>
    </row>
    <row r="102" spans="4:11" x14ac:dyDescent="0.15">
      <c r="D102" s="53" t="s">
        <v>40</v>
      </c>
      <c r="E102" s="54">
        <f>IF($A$2="mm",$F$101,$E$101)</f>
        <v>1.8595064000000002E-5</v>
      </c>
      <c r="F102" s="54" t="str">
        <f>IF($A$2="mm",$F$99,$E$99)</f>
        <v>Ω*mm</v>
      </c>
      <c r="G102" s="12"/>
      <c r="H102" s="42" t="s">
        <v>41</v>
      </c>
      <c r="I102" s="12"/>
      <c r="J102" s="52">
        <f>$D$2</f>
        <v>15</v>
      </c>
    </row>
    <row r="103" spans="4:11" ht="35.25" x14ac:dyDescent="0.15">
      <c r="D103" s="49"/>
      <c r="E103" s="49"/>
      <c r="F103" s="49"/>
      <c r="G103" s="12"/>
      <c r="H103" s="42" t="s">
        <v>8</v>
      </c>
      <c r="I103" s="12"/>
      <c r="J103" s="55" t="str">
        <f>_xlfn.CONCAT("Area sezione pista [", $C$15,"]")</f>
        <v>Area sezione pista [mm^2       &lt;-- Scelta]</v>
      </c>
    </row>
    <row r="104" spans="4:11" x14ac:dyDescent="0.15">
      <c r="D104" s="41" t="s">
        <v>42</v>
      </c>
      <c r="E104" s="41">
        <f>$E$2+$F$2</f>
        <v>40</v>
      </c>
      <c r="F104" s="49"/>
      <c r="J104" s="55">
        <f>$B$15</f>
        <v>3.720756556506815E-2</v>
      </c>
    </row>
    <row r="105" spans="4:11" ht="24" x14ac:dyDescent="0.15">
      <c r="D105" s="41" t="s">
        <v>43</v>
      </c>
      <c r="E105" s="41">
        <v>3.9300000000000003E-3</v>
      </c>
      <c r="F105" s="49"/>
      <c r="J105" s="56" t="s">
        <v>44</v>
      </c>
    </row>
    <row r="106" spans="4:11" x14ac:dyDescent="0.15">
      <c r="F106" s="12"/>
      <c r="J106" s="56">
        <f>($E$102 * $J$102) / $B$14</f>
        <v>7.4964850767303658E-3</v>
      </c>
    </row>
    <row r="107" spans="4:11" x14ac:dyDescent="0.15">
      <c r="F107" s="12"/>
    </row>
    <row r="109" spans="4:11" x14ac:dyDescent="0.15">
      <c r="K109" s="12"/>
    </row>
  </sheetData>
  <sheetProtection selectLockedCells="1" selectUnlockedCells="1"/>
  <mergeCells count="5">
    <mergeCell ref="B2:B3"/>
    <mergeCell ref="B12:C12"/>
    <mergeCell ref="D94:F94"/>
    <mergeCell ref="J95:J96"/>
    <mergeCell ref="J97:J99"/>
  </mergeCells>
  <dataValidations count="3">
    <dataValidation type="list" operator="equal" allowBlank="1" showErrorMessage="1" sqref="A2" xr:uid="{2BEB7758-514C-4A20-A888-C72748F7CDAC}">
      <formula1>$H$95:$H$96</formula1>
      <formula2>0</formula2>
    </dataValidation>
    <dataValidation type="list" operator="equal" allowBlank="1" showErrorMessage="1" sqref="B2" xr:uid="{DF0001CC-6C48-4E99-A0C7-83243316C744}">
      <formula1>$H$102:$H$103</formula1>
      <formula2>0</formula2>
    </dataValidation>
    <dataValidation type="list" operator="equal" allowBlank="1" showErrorMessage="1" sqref="A3" xr:uid="{49C39BCD-6CD1-4BF5-B337-3653389D242F}">
      <formula1>$H$97:$H$99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Dorigo</dc:creator>
  <cp:lastModifiedBy>X</cp:lastModifiedBy>
  <dcterms:created xsi:type="dcterms:W3CDTF">2026-03-02T15:04:19Z</dcterms:created>
  <dcterms:modified xsi:type="dcterms:W3CDTF">2026-03-02T15:04:19Z</dcterms:modified>
</cp:coreProperties>
</file>