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<sst xmlns="http://schemas.openxmlformats.org/spreadsheetml/2006/main" count="9" uniqueCount="9">
  <si>
    <t xml:space="preserve">Vo considerando che il comparatore cambia se In_partitore = in_3v3 – 0.1V</t>
  </si>
  <si>
    <t xml:space="preserve">Vo</t>
  </si>
  <si>
    <t xml:space="preserve">Vi</t>
  </si>
  <si>
    <t xml:space="preserve">R1</t>
  </si>
  <si>
    <t xml:space="preserve">R2</t>
  </si>
  <si>
    <t xml:space="preserve">R1 ideale (scelta R2)</t>
  </si>
  <si>
    <t xml:space="preserve">R2 ideale (scelta R1)</t>
  </si>
  <si>
    <t xml:space="preserve">Vo reale (Vi ideale)</t>
  </si>
  <si>
    <t xml:space="preserve">Vi reale a cui stacca (Vo ideale)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</si>
</sst>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I9"/>
  <sheetViews>
    <sheetView showFormulas="false" showGridLines="true" showRowColHeaders="true" showZeros="true" rightToLeft="false" tabSelected="true" showOutlineSymbols="true" defaultGridColor="true" view="normal" topLeftCell="A1" colorId="64" zoomScale="140" zoomScaleNormal="140" zoomScalePageLayoutView="100" workbookViewId="0">
      <selection pane="topLeft" activeCell="D6" activeCellId="0" sqref="D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24.84"/>
    <col collapsed="false" customWidth="true" hidden="false" outlineLevel="0" max="5" min="5" style="1" width="28.34"/>
    <col collapsed="false" customWidth="true" hidden="false" outlineLevel="0" max="9" min="8" style="1" width="19.3"/>
  </cols>
  <sheetData>
    <row r="3" customFormat="false" ht="41.55" hidden="false" customHeight="true" outlineLevel="0" collapsed="false">
      <c r="D3" s="2" t="s">
        <v>0</v>
      </c>
    </row>
    <row r="4" customFormat="false" ht="12.8" hidden="false" customHeight="false" outlineLevel="0" collapsed="false">
      <c r="D4" s="3" t="s">
        <v>1</v>
      </c>
      <c r="E4" s="3" t="s">
        <v>2</v>
      </c>
      <c r="F4" s="1" t="s">
        <v>3</v>
      </c>
      <c r="G4" s="1" t="s">
        <v>4</v>
      </c>
      <c r="H4" s="1" t="s">
        <v>5</v>
      </c>
      <c r="I4" s="1" t="s">
        <v>6</v>
      </c>
    </row>
    <row r="5" customFormat="false" ht="12.8" hidden="false" customHeight="false" outlineLevel="0" collapsed="false">
      <c r="D5" s="3" t="n">
        <v>3.2</v>
      </c>
      <c r="E5" s="3" t="n">
        <v>18.5</v>
      </c>
      <c r="F5" s="1" t="n">
        <v>56</v>
      </c>
      <c r="G5" s="1" t="n">
        <v>12</v>
      </c>
      <c r="H5" s="1" t="n">
        <f aca="false">(E5*G5)/D5 - G5</f>
        <v>57.375</v>
      </c>
      <c r="I5" s="1" t="n">
        <f aca="false">D5*F5/(E5-D5)</f>
        <v>11.7124183006536</v>
      </c>
    </row>
    <row r="6" customFormat="false" ht="12.8" hidden="false" customHeight="false" outlineLevel="0" collapsed="false">
      <c r="F6" s="1" t="n">
        <v>91</v>
      </c>
      <c r="G6" s="1" t="n">
        <v>13</v>
      </c>
    </row>
    <row r="8" customFormat="false" ht="12.8" hidden="false" customHeight="false" outlineLevel="0" collapsed="false">
      <c r="D8" s="1" t="s">
        <v>7</v>
      </c>
      <c r="E8" s="1" t="s">
        <v>8</v>
      </c>
    </row>
    <row r="9" customFormat="false" ht="12.8" hidden="false" customHeight="false" outlineLevel="0" collapsed="false">
      <c r="D9" s="1" t="n">
        <f aca="false">E5*G5/(F5+G5)</f>
        <v>3.26470588235294</v>
      </c>
      <c r="E9" s="1" t="n">
        <f aca="false">D5*(F5+G5) / G5</f>
        <v>18.1333333333333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1073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2026-01-17T23:56:06Z</dcterms:created>
  <dc:creator/>
  <dc:description/>
  <dc:language>it-IT</dc:language>
  <cp:lastModifiedBy/>
  <dcterms:modified xsi:type="dcterms:W3CDTF">2026-01-24T01:16:35Z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