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xr:revisionPtr revIDLastSave="0" documentId="8_{E577BB0C-6476-D645-B639-FE2F57DB9BF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Foglio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24" i="1" l="1"/>
  <c r="B23" i="1"/>
  <c r="B22" i="1"/>
  <c r="B17" i="1"/>
  <c r="B18" i="1"/>
  <c r="F17" i="1"/>
  <c r="B15" i="1"/>
  <c r="C16" i="1"/>
  <c r="B16" i="1"/>
  <c r="F13" i="1"/>
</calcChain>
</file>

<file path=xl/sharedStrings.xml><?xml version="1.0" encoding="utf-8"?>
<sst xmlns="http://schemas.openxmlformats.org/spreadsheetml/2006/main" count="41" uniqueCount="27">
  <si>
    <t>Formula :  Rth(h-a) = (Ts – Ta) / Pd [°C/W]</t>
  </si>
  <si>
    <t>INPUTS OBBLIGATORI</t>
  </si>
  <si>
    <t>Esempio con driver DRV8825</t>
  </si>
  <si>
    <t>Pd                 (Potenza da dissipare)</t>
  </si>
  <si>
    <t>W</t>
  </si>
  <si>
    <t>Pd</t>
  </si>
  <si>
    <t>Ta                 (Temperatura ambiente di utilizzo)</t>
  </si>
  <si>
    <t>°C</t>
  </si>
  <si>
    <t>Ta</t>
  </si>
  <si>
    <t>TjMAX           (Temperatura MAX di giunzione oppure termal shutdown)</t>
  </si>
  <si>
    <t>TjMAX</t>
  </si>
  <si>
    <t>Rth(j-c)          (Resistenza termica giunzione-case)</t>
  </si>
  <si>
    <t>°C/W</t>
  </si>
  <si>
    <t xml:space="preserve">Rth(j-c)  </t>
  </si>
  <si>
    <t>Rth(c-s) Isolanti tra case e sink (0,5°C/W=pasta termica isolante, 1°C/W=pasta termica, 1,5°C/W=mica, 2°C/W=nulla)</t>
  </si>
  <si>
    <t>Rth(c-s)</t>
  </si>
  <si>
    <t>INPUTS FACOLTATIVI</t>
  </si>
  <si>
    <t>Rth(s-a)         (Resistenza termica del dissipatore scelta) INSERIRE SOLO SE NON E’ DA TROVARE</t>
  </si>
  <si>
    <t xml:space="preserve">VALORE DEL DISSIPATORE DA PRENDERE </t>
  </si>
  <si>
    <t>Rth(s-a)         (Resistenza termica sink  - ambiente)</t>
  </si>
  <si>
    <t>Resistenza termica del dissipatore consigliata da prendere</t>
  </si>
  <si>
    <t>Tc                  (Temperatura case)</t>
  </si>
  <si>
    <t>Ts                  (Temperatura dissipatore)</t>
  </si>
  <si>
    <t>TEMPERATURE IN BASE AL DISSIPATORE SCELTO</t>
  </si>
  <si>
    <t>Tj                   (Temperatura di giunzione teorica)   Tj  = Tc + Pd * Rth(j-c)</t>
  </si>
  <si>
    <t>Tc                  (Temperatura case teorica)               Tc = Ts + Pd * Rth(c-s)</t>
  </si>
  <si>
    <t>Ts                  (Temperatura dissipatore teorica)     Ts = Ta + Pd * Rth(s-a)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</si>
</sst>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i/>
      <sz val="10"/>
      <name val="Arial"/>
      <family val="2"/>
      <charset val="1"/>
    </font>
    <font>
      <sz val="10"/>
      <color rgb="FFFFFFFF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CC0000"/>
      </patternFill>
    </fill>
    <fill>
      <patternFill patternType="solid">
        <fgColor rgb="FF800080"/>
        <bgColor rgb="FF800080"/>
      </patternFill>
    </fill>
    <fill>
      <patternFill patternType="solid">
        <fgColor rgb="FFB4C7DC"/>
        <bgColor rgb="FF99CCFF"/>
      </patternFill>
    </fill>
    <fill>
      <patternFill patternType="solid">
        <fgColor rgb="FF77BC65"/>
        <bgColor rgb="FF999999"/>
      </patternFill>
    </fill>
    <fill>
      <patternFill patternType="solid">
        <fgColor rgb="FFFF8000"/>
        <bgColor rgb="FFFF860D"/>
      </patternFill>
    </fill>
    <fill>
      <patternFill patternType="solid">
        <fgColor rgb="FF999999"/>
        <bgColor rgb="FF808080"/>
      </patternFill>
    </fill>
    <fill>
      <patternFill patternType="solid">
        <fgColor rgb="FFDEDCE6"/>
        <bgColor rgb="FFB4C7DC"/>
      </patternFill>
    </fill>
    <fill>
      <patternFill patternType="solid">
        <fgColor rgb="FFFFFF00"/>
        <bgColor rgb="FFFFFF00"/>
      </patternFill>
    </fill>
    <fill>
      <patternFill patternType="solid">
        <fgColor rgb="FFFF860D"/>
        <bgColor rgb="FFFF8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 applyProtection="1">
      <alignment horizontal="center"/>
    </xf>
    <xf numFmtId="0" fontId="0" fillId="0" borderId="0" xfId="0" applyFont="1" applyBorder="1" applyAlignment="1" applyProtection="1">
      <alignment horizontal="center" vertical="center"/>
    </xf>
    <xf numFmtId="0" fontId="0" fillId="3" borderId="1" xfId="0" applyFont="1" applyFill="1" applyBorder="1" applyAlignment="1" applyProtection="1">
      <alignment horizontal="center"/>
    </xf>
    <xf numFmtId="0" fontId="0" fillId="0" borderId="0" xfId="0" applyAlignment="1" applyProtection="1"/>
    <xf numFmtId="0" fontId="1" fillId="2" borderId="0" xfId="0" applyFont="1" applyFill="1" applyAlignment="1" applyProtection="1"/>
    <xf numFmtId="0" fontId="0" fillId="4" borderId="1" xfId="0" applyFont="1" applyFill="1" applyBorder="1" applyAlignment="1" applyProtection="1">
      <alignment horizontal="left" vertical="center"/>
    </xf>
    <xf numFmtId="0" fontId="0" fillId="4" borderId="1" xfId="0" applyFill="1" applyBorder="1" applyAlignment="1" applyProtection="1">
      <alignment horizontal="right" vertical="center"/>
    </xf>
    <xf numFmtId="0" fontId="0" fillId="0" borderId="0" xfId="0" applyFont="1" applyAlignment="1" applyProtection="1"/>
    <xf numFmtId="0" fontId="0" fillId="5" borderId="1" xfId="0" applyFont="1" applyFill="1" applyBorder="1" applyAlignment="1" applyProtection="1">
      <alignment horizontal="left" vertical="center"/>
    </xf>
    <xf numFmtId="0" fontId="0" fillId="5" borderId="1" xfId="0" applyFill="1" applyBorder="1" applyAlignment="1" applyProtection="1">
      <alignment horizontal="right" vertical="center"/>
    </xf>
    <xf numFmtId="0" fontId="0" fillId="6" borderId="1" xfId="0" applyFont="1" applyFill="1" applyBorder="1" applyAlignment="1" applyProtection="1">
      <alignment horizontal="left" vertical="center"/>
    </xf>
    <xf numFmtId="0" fontId="0" fillId="6" borderId="1" xfId="0" applyFill="1" applyBorder="1" applyAlignment="1" applyProtection="1">
      <alignment horizontal="right" vertical="center"/>
    </xf>
    <xf numFmtId="0" fontId="0" fillId="7" borderId="1" xfId="0" applyFont="1" applyFill="1" applyBorder="1" applyAlignment="1" applyProtection="1">
      <alignment horizontal="left" vertical="center"/>
    </xf>
    <xf numFmtId="0" fontId="0" fillId="7" borderId="1" xfId="0" applyFill="1" applyBorder="1" applyAlignment="1" applyProtection="1">
      <alignment horizontal="right" vertical="center"/>
    </xf>
    <xf numFmtId="0" fontId="0" fillId="8" borderId="1" xfId="0" applyFont="1" applyFill="1" applyBorder="1" applyAlignment="1" applyProtection="1">
      <alignment horizontal="left" vertical="center"/>
    </xf>
    <xf numFmtId="0" fontId="0" fillId="8" borderId="1" xfId="0" applyFill="1" applyBorder="1" applyAlignment="1" applyProtection="1">
      <alignment horizontal="right" vertical="center"/>
    </xf>
    <xf numFmtId="0" fontId="0" fillId="9" borderId="1" xfId="0" applyFont="1" applyFill="1" applyBorder="1" applyAlignment="1" applyProtection="1">
      <alignment horizontal="left" vertical="center"/>
    </xf>
    <xf numFmtId="0" fontId="0" fillId="9" borderId="1" xfId="0" applyFill="1" applyBorder="1" applyAlignment="1" applyProtection="1">
      <alignment horizontal="right" vertical="center" wrapText="1"/>
    </xf>
    <xf numFmtId="2" fontId="0" fillId="4" borderId="1" xfId="0" applyNumberFormat="1" applyFill="1" applyBorder="1" applyAlignment="1" applyProtection="1">
      <alignment horizontal="right" vertical="center" wrapText="1"/>
    </xf>
    <xf numFmtId="1" fontId="0" fillId="9" borderId="1" xfId="0" applyNumberFormat="1" applyFill="1" applyBorder="1" applyAlignment="1" applyProtection="1">
      <alignment horizontal="right" vertical="center"/>
    </xf>
    <xf numFmtId="0" fontId="0" fillId="9" borderId="1" xfId="0" applyFill="1" applyBorder="1" applyAlignment="1" applyProtection="1">
      <alignment horizontal="center" vertical="center"/>
    </xf>
    <xf numFmtId="0" fontId="0" fillId="10" borderId="1" xfId="0" applyFont="1" applyFill="1" applyBorder="1" applyAlignment="1" applyProtection="1">
      <alignment horizontal="left" vertical="center"/>
    </xf>
    <xf numFmtId="0" fontId="0" fillId="10" borderId="1" xfId="0" applyFill="1" applyBorder="1" applyAlignment="1" applyProtection="1">
      <alignment horizontal="right" vertical="center"/>
    </xf>
    <xf numFmtId="0" fontId="0" fillId="0" borderId="0" xfId="0" applyAlignment="1" applyProtection="1">
      <alignment horizontal="left" vertical="center"/>
    </xf>
    <xf numFmtId="0" fontId="0" fillId="4" borderId="1" xfId="0" applyFill="1" applyBorder="1" applyAlignment="1" applyProtection="1">
      <alignment horizontal="right" vertical="center" wrapText="1"/>
    </xf>
  </cellXfs>
  <cellStyles count="1">
    <cellStyle name="Normale" xfId="0" builtinId="0"/>
  </cellStyles>
  <dxfs count="3">
    <dxf>
      <font>
        <b/>
        <color rgb="FFFFFFFF"/>
      </font>
      <fill>
        <patternFill>
          <bgColor rgb="FFCC0000"/>
        </patternFill>
      </fill>
    </dxf>
    <dxf>
      <font>
        <b/>
        <color rgb="FFFFFFFF"/>
      </font>
      <fill>
        <patternFill>
          <bgColor rgb="FFCC0000"/>
        </patternFill>
      </fill>
    </dxf>
    <dxf>
      <font>
        <b/>
        <color rgb="FFFFFFFF"/>
      </font>
      <fill>
        <patternFill>
          <bgColor rgb="FFCC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7BC65"/>
      <rgbColor rgb="FFFFCC00"/>
      <rgbColor rgb="FFFF860D"/>
      <rgbColor rgb="FFFF80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4"/>
  <sheetViews>
    <sheetView tabSelected="1" zoomScale="120" zoomScaleNormal="120" workbookViewId="0">
      <selection activeCell="F17" sqref="F17"/>
    </sheetView>
  </sheetViews>
  <sheetFormatPr defaultColWidth="11.59375" defaultRowHeight="12.75" customHeight="1" x14ac:dyDescent="0.15"/>
  <cols>
    <col min="1" max="1" width="97.76953125" style="4" customWidth="1"/>
    <col min="2" max="2" width="9.9765625" style="4" customWidth="1"/>
    <col min="3" max="3" width="13.75390625" style="4" customWidth="1"/>
  </cols>
  <sheetData>
    <row r="2" spans="1:7" x14ac:dyDescent="0.15">
      <c r="A2" s="5" t="s">
        <v>0</v>
      </c>
    </row>
    <row r="4" spans="1:7" x14ac:dyDescent="0.15">
      <c r="A4" s="3" t="s">
        <v>1</v>
      </c>
      <c r="B4" s="3"/>
      <c r="C4" s="3"/>
      <c r="E4" s="2" t="s">
        <v>2</v>
      </c>
      <c r="F4" s="2"/>
      <c r="G4" s="2"/>
    </row>
    <row r="5" spans="1:7" x14ac:dyDescent="0.15">
      <c r="A5" s="6" t="s">
        <v>3</v>
      </c>
      <c r="B5" s="7">
        <v>5.3</v>
      </c>
      <c r="C5" s="6" t="s">
        <v>4</v>
      </c>
      <c r="E5" s="8" t="s">
        <v>5</v>
      </c>
      <c r="F5" s="8">
        <v>6.8</v>
      </c>
      <c r="G5" s="6" t="s">
        <v>4</v>
      </c>
    </row>
    <row r="6" spans="1:7" x14ac:dyDescent="0.15">
      <c r="A6" s="9" t="s">
        <v>6</v>
      </c>
      <c r="B6" s="10">
        <v>35</v>
      </c>
      <c r="C6" s="9" t="s">
        <v>7</v>
      </c>
      <c r="E6" s="8" t="s">
        <v>8</v>
      </c>
      <c r="F6" s="8">
        <v>35</v>
      </c>
      <c r="G6" s="9" t="s">
        <v>7</v>
      </c>
    </row>
    <row r="7" spans="1:7" x14ac:dyDescent="0.15">
      <c r="A7" s="11" t="s">
        <v>9</v>
      </c>
      <c r="B7" s="12">
        <v>140</v>
      </c>
      <c r="C7" s="11" t="s">
        <v>7</v>
      </c>
      <c r="E7" s="8" t="s">
        <v>10</v>
      </c>
      <c r="F7" s="8">
        <v>150</v>
      </c>
      <c r="G7" s="11" t="s">
        <v>7</v>
      </c>
    </row>
    <row r="8" spans="1:7" x14ac:dyDescent="0.15">
      <c r="A8" s="13" t="s">
        <v>11</v>
      </c>
      <c r="B8" s="14">
        <v>15.9</v>
      </c>
      <c r="C8" s="13" t="s">
        <v>12</v>
      </c>
      <c r="E8" s="8" t="s">
        <v>13</v>
      </c>
      <c r="F8" s="8">
        <v>15.9</v>
      </c>
      <c r="G8" s="13" t="s">
        <v>12</v>
      </c>
    </row>
    <row r="9" spans="1:7" x14ac:dyDescent="0.15">
      <c r="A9" s="15" t="s">
        <v>14</v>
      </c>
      <c r="B9" s="16">
        <v>2</v>
      </c>
      <c r="C9" s="15" t="s">
        <v>12</v>
      </c>
      <c r="E9" s="8" t="s">
        <v>15</v>
      </c>
      <c r="F9" s="8">
        <v>2</v>
      </c>
      <c r="G9" s="15" t="s">
        <v>12</v>
      </c>
    </row>
    <row r="10" spans="1:7" x14ac:dyDescent="0.15">
      <c r="A10" s="3" t="s">
        <v>16</v>
      </c>
      <c r="B10" s="3">
        <v>3</v>
      </c>
      <c r="C10" s="3"/>
    </row>
    <row r="11" spans="1:7" x14ac:dyDescent="0.15">
      <c r="A11" s="17" t="s">
        <v>17</v>
      </c>
      <c r="B11" s="18">
        <v>0.3</v>
      </c>
      <c r="C11" s="17" t="s">
        <v>12</v>
      </c>
    </row>
    <row r="13" spans="1:7" ht="15.6" customHeight="1" x14ac:dyDescent="0.15">
      <c r="F13" s="8">
        <f>4*0.55 * (2.2*0.7)^2</f>
        <v>5.2175200000000004</v>
      </c>
    </row>
    <row r="14" spans="1:7" x14ac:dyDescent="0.15">
      <c r="A14" s="1" t="s">
        <v>18</v>
      </c>
      <c r="B14" s="1"/>
      <c r="C14" s="1"/>
    </row>
    <row r="15" spans="1:7" x14ac:dyDescent="0.15">
      <c r="A15" s="6" t="s">
        <v>19</v>
      </c>
      <c r="B15" s="19">
        <f>(B18-B6) / B5</f>
        <v>1.9113207547169817</v>
      </c>
      <c r="C15" s="6" t="s">
        <v>12</v>
      </c>
    </row>
    <row r="16" spans="1:7" x14ac:dyDescent="0.15">
      <c r="A16" s="17" t="s">
        <v>20</v>
      </c>
      <c r="B16" s="20">
        <f>INT(B15*80%)</f>
        <v>1</v>
      </c>
      <c r="C16" s="21" t="str">
        <f>_xlfn.CONCAT("&lt;= ", TEXT(INT(B15*80%), "#0"), " °C/W")</f>
        <v>&lt;= 1 °C/W</v>
      </c>
    </row>
    <row r="17" spans="1:6" x14ac:dyDescent="0.15">
      <c r="A17" s="9" t="s">
        <v>21</v>
      </c>
      <c r="B17" s="10">
        <f>B7-(B5*B8)</f>
        <v>55.730000000000004</v>
      </c>
      <c r="C17" s="9" t="s">
        <v>7</v>
      </c>
      <c r="F17">
        <f>1.5*(5*0.2)</f>
        <v>1.5</v>
      </c>
    </row>
    <row r="18" spans="1:6" x14ac:dyDescent="0.15">
      <c r="A18" s="22" t="s">
        <v>22</v>
      </c>
      <c r="B18" s="23">
        <f>B17 - (B5 * B9)</f>
        <v>45.13</v>
      </c>
      <c r="C18" s="11" t="s">
        <v>7</v>
      </c>
    </row>
    <row r="20" spans="1:6" x14ac:dyDescent="0.15">
      <c r="A20" s="24"/>
      <c r="B20" s="24"/>
    </row>
    <row r="21" spans="1:6" x14ac:dyDescent="0.15">
      <c r="A21" s="1" t="s">
        <v>23</v>
      </c>
      <c r="B21" s="1"/>
      <c r="C21" s="1"/>
    </row>
    <row r="22" spans="1:6" x14ac:dyDescent="0.15">
      <c r="A22" s="6" t="s">
        <v>24</v>
      </c>
      <c r="B22" s="25">
        <f>B23+B5*B8</f>
        <v>131.46</v>
      </c>
      <c r="C22" s="6" t="s">
        <v>7</v>
      </c>
    </row>
    <row r="23" spans="1:6" x14ac:dyDescent="0.15">
      <c r="A23" s="9" t="s">
        <v>25</v>
      </c>
      <c r="B23" s="10">
        <f>B24+B5*B9</f>
        <v>47.190000000000005</v>
      </c>
      <c r="C23" s="9" t="s">
        <v>7</v>
      </c>
    </row>
    <row r="24" spans="1:6" x14ac:dyDescent="0.15">
      <c r="A24" s="22" t="s">
        <v>26</v>
      </c>
      <c r="B24" s="23">
        <f>B6+B5*B11</f>
        <v>36.590000000000003</v>
      </c>
      <c r="C24" s="11" t="s">
        <v>7</v>
      </c>
    </row>
  </sheetData>
  <mergeCells count="5">
    <mergeCell ref="A4:C4"/>
    <mergeCell ref="E4:G4"/>
    <mergeCell ref="A10:C10"/>
    <mergeCell ref="A14:C14"/>
    <mergeCell ref="A21:C21"/>
  </mergeCells>
  <conditionalFormatting sqref="B5 B8:B9 B11 B15:B16">
    <cfRule type="cellIs" dxfId="2" priority="2" operator="lessThanOrEqual">
      <formula>0</formula>
    </cfRule>
  </conditionalFormatting>
  <conditionalFormatting sqref="B6:B7 B17:B18 B22:B24">
    <cfRule type="cellIs" dxfId="1" priority="4" operator="lessThan">
      <formula>-273.15</formula>
    </cfRule>
  </conditionalFormatting>
  <conditionalFormatting sqref="C16">
    <cfRule type="expression" dxfId="0" priority="3">
      <formula>$B$16 &lt;= 0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509</TotalTime>
  <Application>Excel Android</Application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7</cp:revision>
  <dcterms:created xsi:type="dcterms:W3CDTF">2025-10-04T12:19:41Z</dcterms:created>
  <dcterms:modified xsi:type="dcterms:W3CDTF">2025-10-05T20:46:04Z</dcterms:modified>
  <dc:language>it-IT</dc:language>
</cp:coreProperties>
</file>