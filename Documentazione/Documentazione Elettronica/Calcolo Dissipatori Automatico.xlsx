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<sst xmlns="http://schemas.openxmlformats.org/spreadsheetml/2006/main" count="41" uniqueCount="27">
  <si>
    <t xml:space="preserve">Formula :  Rth(h-a) = (Ts – Ta) / Pd [°C/W]</t>
  </si>
  <si>
    <t xml:space="preserve">INPUTS OBBLIGATORI</t>
  </si>
  <si>
    <t xml:space="preserve">Esempio con driver DRV8825</t>
  </si>
  <si>
    <t xml:space="preserve">Pd                 (Potenza da dissipare)</t>
  </si>
  <si>
    <t xml:space="preserve">W</t>
  </si>
  <si>
    <t xml:space="preserve">Pd</t>
  </si>
  <si>
    <t xml:space="preserve">Ta                 (Temperatura ambiente di utilizzo)</t>
  </si>
  <si>
    <t xml:space="preserve">°C</t>
  </si>
  <si>
    <t xml:space="preserve">Ta</t>
  </si>
  <si>
    <t xml:space="preserve">TjMAX           (Temperatura MAX di giunzione oppure termal shutdown)</t>
  </si>
  <si>
    <t xml:space="preserve">TjMAX</t>
  </si>
  <si>
    <t xml:space="preserve">Rth(j-c)          (Resistenza termica giunzione-case)</t>
  </si>
  <si>
    <t xml:space="preserve">°C/W</t>
  </si>
  <si>
    <t xml:space="preserve">Rth(j-c)  </t>
  </si>
  <si>
    <t xml:space="preserve">Rth(c-s) Isolanti tra case e sink (0,5°C/W=pasta termica isolante, 1°C/W=pasta termica, 1,5°C/W=mica, 2°C/W=nulla)</t>
  </si>
  <si>
    <t xml:space="preserve">Rth(c-s)</t>
  </si>
  <si>
    <t xml:space="preserve">INPUTS FACOLTATIVI</t>
  </si>
  <si>
    <t xml:space="preserve">Rth(s-a)         (Resistenza termica del dissipatore scelta) INSERIRE SOLO SE NON E’ DA TROVARE</t>
  </si>
  <si>
    <t xml:space="preserve">VALORE DEL DISSIPATORE DA PRENDERE </t>
  </si>
  <si>
    <t xml:space="preserve">Rth(s-a)         (Resistenza termica sink  - ambiente)</t>
  </si>
  <si>
    <t xml:space="preserve">Resistenza termica del dissipatore consigliata da prendere</t>
  </si>
  <si>
    <t xml:space="preserve">Tc                  (Temperatura case)</t>
  </si>
  <si>
    <t xml:space="preserve">Ts                  (Temperatura dissipatore)</t>
  </si>
  <si>
    <t xml:space="preserve">TEMPERATURE IN BASE AL DISSIPATORE SCELTO</t>
  </si>
  <si>
    <t xml:space="preserve">Tj                   (Temperatura di giunzione teorica)   Tj  = Tc + Pd * Rth(j-c)</t>
  </si>
  <si>
    <t xml:space="preserve">Tc                  (Temperatura case teorica)               Tc = Ts + Pd * Rth(c-s)</t>
  </si>
  <si>
    <t xml:space="preserve">Ts                  (Temperatura dissipatore teorica)     Ts = Ta + Pd * Rth(s-a)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</si>
</sst>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0"/>
      <name val="Arial"/>
      <family val="2"/>
      <charset val="1"/>
    </font>
    <font>
      <sz val="10"/>
      <color rgb="FFFFFFFF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F0000"/>
        <bgColor rgb="FFCC0000"/>
      </patternFill>
    </fill>
    <fill>
      <patternFill patternType="solid">
        <fgColor rgb="FF800080"/>
        <bgColor rgb="FF800080"/>
      </patternFill>
    </fill>
    <fill>
      <patternFill patternType="solid">
        <fgColor rgb="FFB4C7DC"/>
        <bgColor rgb="FF99CCFF"/>
      </patternFill>
    </fill>
    <fill>
      <patternFill patternType="solid">
        <fgColor rgb="FF77BC65"/>
        <bgColor rgb="FF999999"/>
      </patternFill>
    </fill>
    <fill>
      <patternFill patternType="solid">
        <fgColor rgb="FFFF8000"/>
        <bgColor rgb="FFFF860D"/>
      </patternFill>
    </fill>
    <fill>
      <patternFill patternType="solid">
        <fgColor rgb="FF999999"/>
        <bgColor rgb="FF808080"/>
      </patternFill>
    </fill>
    <fill>
      <patternFill patternType="solid">
        <fgColor rgb="FFDEDCE6"/>
        <bgColor rgb="FFB4C7DC"/>
      </patternFill>
    </fill>
    <fill>
      <patternFill patternType="solid">
        <fgColor rgb="FFFFFF00"/>
        <bgColor rgb="FFFFFF00"/>
      </patternFill>
    </fill>
    <fill>
      <patternFill patternType="solid">
        <fgColor rgb="FFFF860D"/>
        <bgColor rgb="FFFF8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7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7" borderId="1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8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8" borderId="1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9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9" borderId="1" xfId="0" applyFont="false" applyBorder="true" applyAlignment="true" applyProtection="true">
      <alignment horizontal="righ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true">
      <alignment horizontal="right" vertical="center" textRotation="0" wrapText="true" indent="0" shrinkToFit="false"/>
      <protection locked="true" hidden="false"/>
    </xf>
    <xf numFmtId="166" fontId="0" fillId="9" borderId="1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9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10" borderId="1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b val="1"/>
        <color rgb="FFFFFFFF"/>
      </font>
      <fill>
        <patternFill>
          <bgColor rgb="FFCC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77BC65"/>
      <rgbColor rgb="FFFFCC00"/>
      <rgbColor rgb="FFFF860D"/>
      <rgbColor rgb="FFFF80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24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F17" activeCellId="0" sqref="F1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97.71"/>
    <col collapsed="false" customWidth="true" hidden="false" outlineLevel="0" max="2" min="2" style="1" width="9.96"/>
    <col collapsed="false" customWidth="true" hidden="false" outlineLevel="0" max="3" min="3" style="1" width="13.8"/>
  </cols>
  <sheetData>
    <row r="2" customFormat="false" ht="12.8" hidden="false" customHeight="false" outlineLevel="0" collapsed="false">
      <c r="A2" s="2" t="s">
        <v>0</v>
      </c>
    </row>
    <row r="4" customFormat="false" ht="12.8" hidden="false" customHeight="false" outlineLevel="0" collapsed="false">
      <c r="A4" s="3" t="s">
        <v>1</v>
      </c>
      <c r="B4" s="3"/>
      <c r="C4" s="3"/>
      <c r="E4" s="4" t="s">
        <v>2</v>
      </c>
      <c r="F4" s="4"/>
      <c r="G4" s="4"/>
    </row>
    <row r="5" customFormat="false" ht="12.8" hidden="false" customHeight="false" outlineLevel="0" collapsed="false">
      <c r="A5" s="5" t="s">
        <v>3</v>
      </c>
      <c r="B5" s="6" t="n">
        <v>5.3</v>
      </c>
      <c r="C5" s="5" t="s">
        <v>4</v>
      </c>
      <c r="E5" s="7" t="s">
        <v>5</v>
      </c>
      <c r="F5" s="7" t="n">
        <v>6.8</v>
      </c>
      <c r="G5" s="5" t="s">
        <v>4</v>
      </c>
    </row>
    <row r="6" customFormat="false" ht="12.8" hidden="false" customHeight="false" outlineLevel="0" collapsed="false">
      <c r="A6" s="8" t="s">
        <v>6</v>
      </c>
      <c r="B6" s="9" t="n">
        <v>35</v>
      </c>
      <c r="C6" s="8" t="s">
        <v>7</v>
      </c>
      <c r="E6" s="7" t="s">
        <v>8</v>
      </c>
      <c r="F6" s="7" t="n">
        <v>35</v>
      </c>
      <c r="G6" s="8" t="s">
        <v>7</v>
      </c>
    </row>
    <row r="7" customFormat="false" ht="12.8" hidden="false" customHeight="false" outlineLevel="0" collapsed="false">
      <c r="A7" s="10" t="s">
        <v>9</v>
      </c>
      <c r="B7" s="11" t="n">
        <v>140</v>
      </c>
      <c r="C7" s="10" t="s">
        <v>7</v>
      </c>
      <c r="E7" s="7" t="s">
        <v>10</v>
      </c>
      <c r="F7" s="7" t="n">
        <v>150</v>
      </c>
      <c r="G7" s="10" t="s">
        <v>7</v>
      </c>
    </row>
    <row r="8" customFormat="false" ht="12.8" hidden="false" customHeight="false" outlineLevel="0" collapsed="false">
      <c r="A8" s="12" t="s">
        <v>11</v>
      </c>
      <c r="B8" s="13" t="n">
        <v>15.9</v>
      </c>
      <c r="C8" s="12" t="s">
        <v>12</v>
      </c>
      <c r="E8" s="7" t="s">
        <v>13</v>
      </c>
      <c r="F8" s="7" t="n">
        <v>15.9</v>
      </c>
      <c r="G8" s="12" t="s">
        <v>12</v>
      </c>
    </row>
    <row r="9" customFormat="false" ht="12.8" hidden="false" customHeight="false" outlineLevel="0" collapsed="false">
      <c r="A9" s="14" t="s">
        <v>14</v>
      </c>
      <c r="B9" s="15" t="n">
        <v>2</v>
      </c>
      <c r="C9" s="14" t="s">
        <v>12</v>
      </c>
      <c r="E9" s="7" t="s">
        <v>15</v>
      </c>
      <c r="F9" s="7" t="n">
        <v>2</v>
      </c>
      <c r="G9" s="14" t="s">
        <v>12</v>
      </c>
    </row>
    <row r="10" customFormat="false" ht="12.8" hidden="false" customHeight="false" outlineLevel="0" collapsed="false">
      <c r="A10" s="3" t="s">
        <v>16</v>
      </c>
      <c r="B10" s="3" t="n">
        <v>3</v>
      </c>
      <c r="C10" s="3"/>
    </row>
    <row r="11" customFormat="false" ht="12.8" hidden="false" customHeight="false" outlineLevel="0" collapsed="false">
      <c r="A11" s="16" t="s">
        <v>17</v>
      </c>
      <c r="B11" s="17" t="n">
        <v>0.3</v>
      </c>
      <c r="C11" s="16" t="s">
        <v>12</v>
      </c>
    </row>
    <row r="13" customFormat="false" ht="15.5" hidden="false" customHeight="true" outlineLevel="0" collapsed="false">
      <c r="F13" s="7" t="n">
        <f aca="false">4*0.55 * (2.2*0.7)^2</f>
        <v>5.21752</v>
      </c>
    </row>
    <row r="14" customFormat="false" ht="12.8" hidden="false" customHeight="false" outlineLevel="0" collapsed="false">
      <c r="A14" s="18" t="s">
        <v>18</v>
      </c>
      <c r="B14" s="18"/>
      <c r="C14" s="18"/>
    </row>
    <row r="15" customFormat="false" ht="12.8" hidden="false" customHeight="false" outlineLevel="0" collapsed="false">
      <c r="A15" s="5" t="s">
        <v>19</v>
      </c>
      <c r="B15" s="19" t="n">
        <f aca="false">(B18-B6) / B5</f>
        <v>1.91132075471698</v>
      </c>
      <c r="C15" s="5" t="s">
        <v>12</v>
      </c>
    </row>
    <row r="16" customFormat="false" ht="12.8" hidden="false" customHeight="false" outlineLevel="0" collapsed="false">
      <c r="A16" s="16" t="s">
        <v>20</v>
      </c>
      <c r="B16" s="20" t="n">
        <f aca="false">INT(B15*80%)</f>
        <v>1</v>
      </c>
      <c r="C16" s="21" t="str">
        <f aca="false">_xlfn.CONCAT("&lt;= ", TEXT(INT(B15*80%), "#0"), " °C/W")</f>
        <v>&lt;= 1 °C/W</v>
      </c>
    </row>
    <row r="17" customFormat="false" ht="12.8" hidden="false" customHeight="false" outlineLevel="0" collapsed="false">
      <c r="A17" s="8" t="s">
        <v>21</v>
      </c>
      <c r="B17" s="9" t="n">
        <f aca="false">B7-(B5*B8)</f>
        <v>55.73</v>
      </c>
      <c r="C17" s="8" t="s">
        <v>7</v>
      </c>
      <c r="F17" s="0" t="n">
        <f aca="false">1.5*(5*0.2)</f>
        <v>1.5</v>
      </c>
    </row>
    <row r="18" customFormat="false" ht="12.8" hidden="false" customHeight="false" outlineLevel="0" collapsed="false">
      <c r="A18" s="22" t="s">
        <v>22</v>
      </c>
      <c r="B18" s="23" t="n">
        <f aca="false">B17 - (B5 * B9)</f>
        <v>45.13</v>
      </c>
      <c r="C18" s="10" t="s">
        <v>7</v>
      </c>
    </row>
    <row r="20" customFormat="false" ht="12.8" hidden="false" customHeight="false" outlineLevel="0" collapsed="false">
      <c r="A20" s="24"/>
      <c r="B20" s="24"/>
    </row>
    <row r="21" customFormat="false" ht="12.8" hidden="false" customHeight="false" outlineLevel="0" collapsed="false">
      <c r="A21" s="18" t="s">
        <v>23</v>
      </c>
      <c r="B21" s="18"/>
      <c r="C21" s="18"/>
    </row>
    <row r="22" customFormat="false" ht="12.8" hidden="false" customHeight="false" outlineLevel="0" collapsed="false">
      <c r="A22" s="5" t="s">
        <v>24</v>
      </c>
      <c r="B22" s="25" t="n">
        <f aca="false">B23+B5*B8</f>
        <v>131.46</v>
      </c>
      <c r="C22" s="5" t="s">
        <v>7</v>
      </c>
    </row>
    <row r="23" customFormat="false" ht="12.8" hidden="false" customHeight="false" outlineLevel="0" collapsed="false">
      <c r="A23" s="8" t="s">
        <v>25</v>
      </c>
      <c r="B23" s="9" t="n">
        <f aca="false">B24+B5*B9</f>
        <v>47.19</v>
      </c>
      <c r="C23" s="8" t="s">
        <v>7</v>
      </c>
    </row>
    <row r="24" customFormat="false" ht="12.8" hidden="false" customHeight="false" outlineLevel="0" collapsed="false">
      <c r="A24" s="22" t="s">
        <v>26</v>
      </c>
      <c r="B24" s="23" t="n">
        <f aca="false">B6+B5*B11</f>
        <v>36.59</v>
      </c>
      <c r="C24" s="10" t="s">
        <v>7</v>
      </c>
    </row>
  </sheetData>
  <mergeCells count="5">
    <mergeCell ref="A4:C4"/>
    <mergeCell ref="E4:G4"/>
    <mergeCell ref="A10:C10"/>
    <mergeCell ref="A14:C14"/>
    <mergeCell ref="A21:C21"/>
  </mergeCells>
  <conditionalFormatting sqref="B8:B9 B5 B15:B16 B11">
    <cfRule type="cellIs" priority="2" operator="lessThanOrEqual" aboveAverage="0" equalAverage="0" bottom="0" percent="0" rank="0" text="" dxfId="0">
      <formula>0</formula>
    </cfRule>
  </conditionalFormatting>
  <conditionalFormatting sqref="C16">
    <cfRule type="expression" priority="3" aboveAverage="0" equalAverage="0" bottom="0" percent="0" rank="0" text="" dxfId="0">
      <formula>Foglio1!$B$16 &lt;= 0</formula>
    </cfRule>
  </conditionalFormatting>
  <conditionalFormatting sqref="B6:B7 B17:B18 B22:B24">
    <cfRule type="cellIs" priority="4" operator="lessThan" aboveAverage="0" equalAverage="0" bottom="0" percent="0" rank="0" text="" dxfId="0">
      <formula>-273.15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Roman,Normale"&amp;12&amp;A</oddHeader>
    <oddFooter>&amp;C&amp;"Times New Roman,Normale"&amp;12Pagina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509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2025-10-04T12:19:41Z</dcterms:created>
  <dc:creator/>
  <dc:description/>
  <dc:language>it-IT</dc:language>
  <cp:lastModifiedBy/>
  <dcterms:modified xsi:type="dcterms:W3CDTF">2025-10-05T20:46:04Z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